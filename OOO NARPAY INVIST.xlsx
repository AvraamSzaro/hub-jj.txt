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 ЗАКЛЮЧЕНИЯ\### КОРПОРАТИВ БИЗНЕС\OOO NARPAY INVIST\"/>
    </mc:Choice>
  </mc:AlternateContent>
  <bookViews>
    <workbookView xWindow="0" yWindow="0" windowWidth="28770" windowHeight="12960" activeTab="3"/>
  </bookViews>
  <sheets>
    <sheet name="Xulosa" sheetId="1" r:id="rId1"/>
    <sheet name="1.Moliyaviy natijalar" sheetId="2" r:id="rId2"/>
    <sheet name="2.NPV-IRR" sheetId="3" state="hidden" r:id="rId3"/>
    <sheet name="2.NPV-IRR (2)" sheetId="10" r:id="rId4"/>
    <sheet name="3.Кредит таъминоти" sheetId="4" r:id="rId5"/>
    <sheet name="4. Кредит тарихи" sheetId="5" r:id="rId6"/>
    <sheet name="5. ҲР айланма ва қарз юки" sheetId="6" r:id="rId7"/>
    <sheet name="6.Likvidlik ko‘rsatkich o‘zgari" sheetId="11" r:id="rId8"/>
    <sheet name="7.Risk appetitga ta'siri" sheetId="9" r:id="rId9"/>
    <sheet name="8.Yuqori foiz stavkada kredit" sheetId="8" r:id="rId10"/>
  </sheets>
  <externalReferences>
    <externalReference r:id="rId11"/>
    <externalReference r:id="rId12"/>
    <externalReference r:id="rId13"/>
    <externalReference r:id="rId14"/>
    <externalReference r:id="rId15"/>
    <externalReference r:id="rId16"/>
  </externalReferences>
  <definedNames>
    <definedName name="_xlnm._FilterDatabase" localSheetId="1" hidden="1">'1.Moliyaviy natijalar'!$A$3:$AF$19</definedName>
    <definedName name="мфо">[1]база!$A:$F</definedName>
    <definedName name="_xlnm.Print_Area" localSheetId="2">'2.NPV-IRR'!$A$1:$L$28</definedName>
    <definedName name="_xlnm.Print_Area" localSheetId="3">'2.NPV-IRR (2)'!$A$1:$L$28</definedName>
    <definedName name="_xlnm.Print_Area" localSheetId="4">'3.Кредит таъминоти'!$A$2:$N$38</definedName>
    <definedName name="_xlnm.Print_Area" localSheetId="0">Xulosa!$J$1:$U$63</definedName>
    <definedName name="продукты">[2]Справочник!$C$3:$C$21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0" i="10" l="1"/>
  <c r="E8" i="10"/>
  <c r="M12" i="10"/>
  <c r="J5" i="10" l="1"/>
  <c r="J10" i="10"/>
  <c r="J9" i="10"/>
  <c r="J8" i="10"/>
  <c r="J7" i="10"/>
  <c r="J6" i="10"/>
  <c r="J11" i="10"/>
  <c r="L57" i="1"/>
  <c r="H5" i="6"/>
  <c r="L54" i="1"/>
  <c r="L53" i="1"/>
  <c r="L55" i="1"/>
  <c r="C53" i="11" l="1"/>
  <c r="C54" i="11" s="1"/>
  <c r="C55" i="11" s="1"/>
  <c r="C56" i="11" s="1"/>
  <c r="C57" i="11" s="1"/>
  <c r="C58" i="11" s="1"/>
  <c r="C59" i="11" s="1"/>
  <c r="C60" i="11" s="1"/>
  <c r="C61" i="11" s="1"/>
  <c r="C62" i="11" s="1"/>
  <c r="C63" i="11" s="1"/>
  <c r="C64" i="11" s="1"/>
  <c r="C65" i="11" s="1"/>
  <c r="C66" i="11" s="1"/>
  <c r="C67" i="11" s="1"/>
  <c r="C68" i="11" s="1"/>
  <c r="C69" i="11" s="1"/>
  <c r="C70" i="11" s="1"/>
  <c r="C71" i="11" s="1"/>
  <c r="C72" i="11" s="1"/>
  <c r="C73" i="11" s="1"/>
  <c r="C74" i="11" s="1"/>
  <c r="C75" i="11" s="1"/>
  <c r="C76" i="11" s="1"/>
  <c r="C77" i="11" s="1"/>
  <c r="C78" i="11" s="1"/>
  <c r="C79" i="11" s="1"/>
  <c r="C80" i="11" s="1"/>
  <c r="C81" i="11" s="1"/>
  <c r="C82" i="11" s="1"/>
  <c r="C83" i="11" s="1"/>
  <c r="C84" i="11" s="1"/>
  <c r="C85" i="11" s="1"/>
  <c r="C86" i="11" s="1"/>
  <c r="C87" i="11" s="1"/>
  <c r="C88" i="11" s="1"/>
  <c r="C89" i="11" s="1"/>
  <c r="C90" i="11" s="1"/>
  <c r="C91" i="11" s="1"/>
  <c r="C92" i="11" s="1"/>
  <c r="C93" i="11" s="1"/>
  <c r="C94" i="11" s="1"/>
  <c r="C95" i="11" s="1"/>
  <c r="C96" i="11" s="1"/>
  <c r="C97" i="11" s="1"/>
  <c r="C98" i="11" s="1"/>
  <c r="C99" i="11" s="1"/>
  <c r="C100" i="11" s="1"/>
  <c r="C101" i="11" s="1"/>
  <c r="C102" i="11" s="1"/>
  <c r="C103" i="11" s="1"/>
  <c r="C104" i="11" s="1"/>
  <c r="C105" i="11" s="1"/>
  <c r="C106" i="11" s="1"/>
  <c r="C107" i="11" s="1"/>
  <c r="C108" i="11" s="1"/>
  <c r="C109" i="11" s="1"/>
  <c r="C110" i="11" s="1"/>
  <c r="C52" i="11"/>
  <c r="C51" i="11"/>
  <c r="K3" i="9"/>
  <c r="L4" i="9"/>
  <c r="L5" i="9"/>
  <c r="L6" i="9"/>
  <c r="K6" i="9"/>
  <c r="B17" i="2" l="1"/>
  <c r="L3" i="1"/>
  <c r="M41" i="1" l="1"/>
  <c r="E21" i="4"/>
  <c r="L56" i="1" l="1"/>
  <c r="K41" i="1" l="1"/>
  <c r="L41" i="1"/>
  <c r="K34" i="1"/>
  <c r="L34" i="1"/>
  <c r="K35" i="1"/>
  <c r="L35" i="1"/>
  <c r="K36" i="1"/>
  <c r="L36" i="1"/>
  <c r="F9" i="4"/>
  <c r="G9" i="4" l="1"/>
  <c r="J3" i="8" l="1"/>
  <c r="M3" i="8" s="1"/>
  <c r="M6" i="8"/>
  <c r="L6" i="8"/>
  <c r="I6" i="8"/>
  <c r="M5" i="8"/>
  <c r="L5" i="8"/>
  <c r="M4" i="8"/>
  <c r="L4" i="8"/>
  <c r="L3" i="8"/>
  <c r="K32" i="1" l="1"/>
  <c r="L32" i="1"/>
  <c r="K33" i="1"/>
  <c r="L33" i="1"/>
  <c r="E2" i="11" l="1"/>
  <c r="B2" i="11"/>
  <c r="G16" i="2" l="1"/>
  <c r="G15" i="2"/>
  <c r="G14" i="2"/>
  <c r="G13" i="2"/>
  <c r="G12" i="2"/>
  <c r="H3" i="2"/>
  <c r="I3" i="2" s="1"/>
  <c r="H4" i="2"/>
  <c r="I4" i="2" s="1"/>
  <c r="H5" i="2"/>
  <c r="H6" i="2"/>
  <c r="H7" i="2"/>
  <c r="J3" i="9"/>
  <c r="G17" i="2" l="1"/>
  <c r="O13" i="5"/>
  <c r="I2" i="11" l="1"/>
  <c r="J40" i="1" l="1"/>
  <c r="F21" i="4"/>
  <c r="K2" i="11" l="1"/>
  <c r="H4" i="6" l="1"/>
  <c r="I7" i="9" l="1"/>
  <c r="M6" i="9"/>
  <c r="K5" i="9"/>
  <c r="M5" i="9" s="1"/>
  <c r="K4" i="9"/>
  <c r="M4" i="9" s="1"/>
  <c r="M3" i="9"/>
  <c r="I66" i="11"/>
  <c r="H65" i="11"/>
  <c r="H63" i="11"/>
  <c r="C8" i="11" s="1"/>
  <c r="H62" i="11"/>
  <c r="I59" i="11"/>
  <c r="J59" i="11" s="1"/>
  <c r="I58" i="11"/>
  <c r="J58" i="11" s="1"/>
  <c r="J57" i="11"/>
  <c r="I57" i="11"/>
  <c r="H57" i="11"/>
  <c r="M54" i="11"/>
  <c r="P54" i="11" s="1"/>
  <c r="L54" i="11"/>
  <c r="O54" i="11" s="1"/>
  <c r="M53" i="11"/>
  <c r="P53" i="11" s="1"/>
  <c r="L53" i="11"/>
  <c r="O53" i="11" s="1"/>
  <c r="N53" i="11" s="1"/>
  <c r="M52" i="11"/>
  <c r="P52" i="11" s="1"/>
  <c r="L52" i="11"/>
  <c r="K52" i="11" s="1"/>
  <c r="M51" i="11"/>
  <c r="P51" i="11" s="1"/>
  <c r="L51" i="11"/>
  <c r="O51" i="11" s="1"/>
  <c r="M50" i="11"/>
  <c r="L50" i="11"/>
  <c r="O50" i="11" s="1"/>
  <c r="M49" i="11"/>
  <c r="P49" i="11" s="1"/>
  <c r="J42" i="11"/>
  <c r="E7" i="11" s="1"/>
  <c r="M47" i="11"/>
  <c r="P47" i="11" s="1"/>
  <c r="L47" i="11"/>
  <c r="K47" i="11" s="1"/>
  <c r="M46" i="11"/>
  <c r="P46" i="11" s="1"/>
  <c r="L46" i="11"/>
  <c r="K46" i="11" s="1"/>
  <c r="M45" i="11"/>
  <c r="P45" i="11" s="1"/>
  <c r="M44" i="11"/>
  <c r="L44" i="11"/>
  <c r="O44" i="11" s="1"/>
  <c r="I42" i="11"/>
  <c r="D7" i="11" s="1"/>
  <c r="H42" i="11"/>
  <c r="C7" i="11" s="1"/>
  <c r="M40" i="11"/>
  <c r="P40" i="11" s="1"/>
  <c r="M39" i="11"/>
  <c r="P39" i="11" s="1"/>
  <c r="J36" i="11"/>
  <c r="E6" i="11" s="1"/>
  <c r="I36" i="11"/>
  <c r="D6" i="11" s="1"/>
  <c r="H36" i="11"/>
  <c r="C6" i="11" s="1"/>
  <c r="M34" i="11"/>
  <c r="P34" i="11" s="1"/>
  <c r="F34" i="11"/>
  <c r="M33" i="11"/>
  <c r="L33" i="11"/>
  <c r="K33" i="11" s="1"/>
  <c r="J32" i="11"/>
  <c r="E5" i="11" s="1"/>
  <c r="I32" i="11"/>
  <c r="H32" i="11"/>
  <c r="C5" i="11" s="1"/>
  <c r="E23" i="11"/>
  <c r="F23" i="11" s="1"/>
  <c r="D23" i="11"/>
  <c r="E22" i="11"/>
  <c r="F22" i="11" s="1"/>
  <c r="D22" i="11"/>
  <c r="E21" i="11"/>
  <c r="F21" i="11" s="1"/>
  <c r="F20" i="11"/>
  <c r="E20" i="11"/>
  <c r="F19" i="11"/>
  <c r="E19" i="11"/>
  <c r="E18" i="11"/>
  <c r="F18" i="11" s="1"/>
  <c r="D18" i="11"/>
  <c r="F17" i="11"/>
  <c r="E17" i="11"/>
  <c r="F16" i="11"/>
  <c r="E16" i="11"/>
  <c r="B16" i="11"/>
  <c r="F15" i="11"/>
  <c r="E15" i="11"/>
  <c r="E14" i="11"/>
  <c r="F14" i="11" s="1"/>
  <c r="D14" i="11"/>
  <c r="E13" i="11"/>
  <c r="F13" i="11" s="1"/>
  <c r="F12" i="11"/>
  <c r="E12" i="11"/>
  <c r="B12" i="11"/>
  <c r="D13" i="11" s="1"/>
  <c r="D5" i="11"/>
  <c r="J2" i="11"/>
  <c r="B26" i="11" s="1"/>
  <c r="K44" i="11" l="1"/>
  <c r="M43" i="11"/>
  <c r="M38" i="11"/>
  <c r="P38" i="11" s="1"/>
  <c r="O52" i="11"/>
  <c r="N52" i="11" s="1"/>
  <c r="K53" i="11"/>
  <c r="O47" i="11"/>
  <c r="N47" i="11" s="1"/>
  <c r="K51" i="11"/>
  <c r="N51" i="11"/>
  <c r="N54" i="11"/>
  <c r="K50" i="11"/>
  <c r="M32" i="11"/>
  <c r="H5" i="11" s="1"/>
  <c r="K5" i="11" s="1"/>
  <c r="I60" i="11"/>
  <c r="J60" i="11" s="1"/>
  <c r="L3" i="9"/>
  <c r="H14" i="11"/>
  <c r="H13" i="11"/>
  <c r="E40" i="11"/>
  <c r="L40" i="11" s="1"/>
  <c r="P32" i="11"/>
  <c r="O33" i="11"/>
  <c r="O46" i="11"/>
  <c r="N46" i="11" s="1"/>
  <c r="D19" i="11"/>
  <c r="P33" i="11"/>
  <c r="P50" i="11"/>
  <c r="P48" i="11" s="1"/>
  <c r="D15" i="11"/>
  <c r="D20" i="11"/>
  <c r="L37" i="11"/>
  <c r="P44" i="11"/>
  <c r="P43" i="11" s="1"/>
  <c r="K54" i="11"/>
  <c r="M37" i="11"/>
  <c r="M48" i="11"/>
  <c r="M42" i="11" s="1"/>
  <c r="D21" i="11"/>
  <c r="D12" i="11"/>
  <c r="H12" i="11" s="1"/>
  <c r="D16" i="11"/>
  <c r="D17" i="11"/>
  <c r="N44" i="11" l="1"/>
  <c r="O40" i="11"/>
  <c r="N40" i="11" s="1"/>
  <c r="K40" i="11"/>
  <c r="P42" i="11"/>
  <c r="H7" i="11"/>
  <c r="K7" i="11" s="1"/>
  <c r="N33" i="11"/>
  <c r="N50" i="11"/>
  <c r="P37" i="11"/>
  <c r="M36" i="11"/>
  <c r="O37" i="11"/>
  <c r="N37" i="11" s="1"/>
  <c r="K37" i="11"/>
  <c r="H6" i="11" l="1"/>
  <c r="K6" i="11" s="1"/>
  <c r="P36" i="11"/>
  <c r="E63" i="11"/>
  <c r="C25" i="11" l="1"/>
  <c r="E45" i="11" l="1"/>
  <c r="L45" i="11" s="1"/>
  <c r="E34" i="11"/>
  <c r="L34" i="11" s="1"/>
  <c r="E49" i="11"/>
  <c r="L49" i="11" s="1"/>
  <c r="C24" i="11"/>
  <c r="E39" i="11"/>
  <c r="L39" i="11" s="1"/>
  <c r="F61" i="11"/>
  <c r="I61" i="11" s="1"/>
  <c r="O34" i="11" l="1"/>
  <c r="N34" i="11" s="1"/>
  <c r="K34" i="11"/>
  <c r="K32" i="11" s="1"/>
  <c r="L32" i="11"/>
  <c r="L48" i="11"/>
  <c r="O49" i="11"/>
  <c r="K49" i="11"/>
  <c r="K48" i="11" s="1"/>
  <c r="O45" i="11"/>
  <c r="K45" i="11"/>
  <c r="K43" i="11" s="1"/>
  <c r="L43" i="11"/>
  <c r="L42" i="11" s="1"/>
  <c r="J66" i="11"/>
  <c r="J61" i="11"/>
  <c r="I62" i="11"/>
  <c r="J62" i="11" s="1"/>
  <c r="I63" i="11"/>
  <c r="O39" i="11"/>
  <c r="N39" i="11" s="1"/>
  <c r="K39" i="11"/>
  <c r="K38" i="11" s="1"/>
  <c r="K36" i="11" s="1"/>
  <c r="L38" i="11"/>
  <c r="J63" i="11" l="1"/>
  <c r="F8" i="11"/>
  <c r="I8" i="11" s="1"/>
  <c r="G5" i="11"/>
  <c r="J5" i="11" s="1"/>
  <c r="O32" i="11"/>
  <c r="O38" i="11"/>
  <c r="N38" i="11" s="1"/>
  <c r="L36" i="11"/>
  <c r="K42" i="11"/>
  <c r="N45" i="11"/>
  <c r="N43" i="11" s="1"/>
  <c r="O43" i="11"/>
  <c r="F6" i="11"/>
  <c r="I6" i="11" s="1"/>
  <c r="N36" i="11"/>
  <c r="F5" i="11"/>
  <c r="I5" i="11" s="1"/>
  <c r="N32" i="11"/>
  <c r="O42" i="11"/>
  <c r="G7" i="11"/>
  <c r="J7" i="11" s="1"/>
  <c r="N49" i="11"/>
  <c r="N48" i="11" s="1"/>
  <c r="O48" i="11"/>
  <c r="N42" i="11" l="1"/>
  <c r="F7" i="11"/>
  <c r="I7" i="11" s="1"/>
  <c r="G6" i="11"/>
  <c r="J6" i="11" s="1"/>
  <c r="O36" i="11"/>
  <c r="E18" i="10" l="1"/>
  <c r="A2" i="2" l="1"/>
  <c r="E5" i="10" l="1"/>
  <c r="E4" i="10"/>
  <c r="E3" i="10" l="1"/>
  <c r="F29" i="4" l="1"/>
  <c r="K3" i="6" l="1"/>
  <c r="G10" i="6"/>
  <c r="F10" i="6"/>
  <c r="F9" i="6"/>
  <c r="G9" i="6"/>
  <c r="J12" i="5"/>
  <c r="G11" i="5"/>
  <c r="G12" i="5"/>
  <c r="K31" i="1" l="1"/>
  <c r="L31" i="1"/>
  <c r="K40" i="1" l="1"/>
  <c r="M40" i="1"/>
  <c r="E6" i="10" l="1"/>
  <c r="F10" i="4"/>
  <c r="G10" i="4" l="1"/>
  <c r="F11" i="4"/>
  <c r="G11" i="4" l="1"/>
  <c r="H10" i="6" l="1"/>
  <c r="F11" i="6"/>
  <c r="G11" i="6"/>
  <c r="H11" i="6"/>
  <c r="F12" i="6"/>
  <c r="G12" i="6"/>
  <c r="H12" i="6"/>
  <c r="F13" i="6" l="1"/>
  <c r="H9" i="6"/>
  <c r="G13" i="6"/>
  <c r="H13" i="6" l="1"/>
  <c r="D19" i="6" s="1"/>
  <c r="F28" i="4"/>
  <c r="E2" i="10" l="1"/>
  <c r="E12" i="3" l="1"/>
  <c r="E18" i="3" s="1"/>
  <c r="E13" i="3"/>
  <c r="I4" i="10"/>
  <c r="E7" i="10" l="1"/>
  <c r="E8" i="3"/>
  <c r="M33" i="1" l="1"/>
  <c r="M35" i="1"/>
  <c r="M31" i="1"/>
  <c r="M14" i="10"/>
  <c r="M13" i="10"/>
  <c r="M34" i="1" l="1"/>
  <c r="M32" i="1"/>
  <c r="K9" i="10"/>
  <c r="N35" i="1" s="1"/>
  <c r="L9" i="10"/>
  <c r="O35" i="1" s="1"/>
  <c r="K8" i="10"/>
  <c r="N34" i="1" s="1"/>
  <c r="L8" i="10"/>
  <c r="O34" i="1" s="1"/>
  <c r="K7" i="10"/>
  <c r="N33" i="1" s="1"/>
  <c r="L7" i="10"/>
  <c r="O33" i="1" s="1"/>
  <c r="K5" i="10"/>
  <c r="N31" i="1" s="1"/>
  <c r="L5" i="10"/>
  <c r="O31" i="1" s="1"/>
  <c r="K6" i="10"/>
  <c r="N32" i="1" s="1"/>
  <c r="L6" i="10"/>
  <c r="O32" i="1" s="1"/>
  <c r="K11" i="10" l="1"/>
  <c r="L11" i="10"/>
  <c r="K10" i="10"/>
  <c r="N36" i="1" s="1"/>
  <c r="L10" i="10"/>
  <c r="O36" i="1" s="1"/>
  <c r="M36" i="1"/>
  <c r="E2" i="3"/>
  <c r="Q14" i="5" l="1"/>
  <c r="O14" i="5"/>
  <c r="J14" i="5"/>
  <c r="P13" i="5"/>
  <c r="M13" i="5"/>
  <c r="L13" i="5"/>
  <c r="K13" i="5"/>
  <c r="P12" i="5"/>
  <c r="O12" i="5"/>
  <c r="M12" i="5"/>
  <c r="L12" i="5"/>
  <c r="K12" i="5"/>
  <c r="P11" i="5"/>
  <c r="O11" i="5"/>
  <c r="M11" i="5"/>
  <c r="L11" i="5"/>
  <c r="K11" i="5"/>
  <c r="J11" i="5"/>
  <c r="H48" i="4"/>
  <c r="G48" i="4"/>
  <c r="F48" i="4"/>
  <c r="F27" i="4"/>
  <c r="F26" i="4"/>
  <c r="F25" i="4"/>
  <c r="F24" i="4"/>
  <c r="F23" i="4"/>
  <c r="F20" i="4"/>
  <c r="F19" i="4"/>
  <c r="F18" i="4"/>
  <c r="F17" i="4"/>
  <c r="F16" i="4"/>
  <c r="F15" i="4"/>
  <c r="E4" i="3"/>
  <c r="M24" i="1"/>
  <c r="M22" i="1"/>
  <c r="M20" i="1"/>
  <c r="I7" i="2"/>
  <c r="I6" i="2"/>
  <c r="N14" i="1"/>
  <c r="O14" i="1" s="1"/>
  <c r="N13" i="1"/>
  <c r="O13" i="1" s="1"/>
  <c r="L58" i="1"/>
  <c r="N40" i="1"/>
  <c r="O40" i="1" s="1"/>
  <c r="L40" i="1"/>
  <c r="M23" i="1"/>
  <c r="K8" i="1"/>
  <c r="K6" i="1"/>
  <c r="K2" i="1"/>
  <c r="F2" i="1"/>
  <c r="C2" i="1"/>
  <c r="N42" i="1" l="1"/>
  <c r="O17" i="5"/>
  <c r="E19" i="6" s="1"/>
  <c r="F19" i="6" s="1"/>
  <c r="E26" i="6" s="1"/>
  <c r="N15" i="1"/>
  <c r="O15" i="1" s="1"/>
  <c r="N12" i="1"/>
  <c r="O12" i="1" s="1"/>
  <c r="N16" i="1"/>
  <c r="O16" i="1" s="1"/>
  <c r="E3" i="3"/>
  <c r="I4" i="3" s="1"/>
  <c r="I5" i="2"/>
  <c r="I8" i="2" s="1"/>
  <c r="M21" i="1"/>
  <c r="M25" i="1" s="1"/>
  <c r="G14" i="5"/>
  <c r="O17" i="1" l="1"/>
  <c r="K48" i="1"/>
  <c r="L48" i="1"/>
  <c r="E5" i="3"/>
  <c r="E7" i="3" s="1"/>
  <c r="E6" i="3"/>
  <c r="L30" i="1"/>
  <c r="E10" i="3" l="1"/>
  <c r="J8" i="3" s="1"/>
  <c r="F30" i="4"/>
  <c r="M48" i="1"/>
  <c r="J6" i="3" l="1"/>
  <c r="L6" i="3" s="1"/>
  <c r="J7" i="3"/>
  <c r="L7" i="3" s="1"/>
  <c r="J5" i="3"/>
  <c r="L5" i="3" s="1"/>
  <c r="J9" i="3"/>
  <c r="L9" i="3" s="1"/>
  <c r="L8" i="3"/>
  <c r="M14" i="3"/>
  <c r="M13" i="3"/>
  <c r="M12" i="3"/>
  <c r="P14" i="5" l="1"/>
  <c r="L14" i="5"/>
  <c r="M14" i="5"/>
  <c r="K14" i="5"/>
</calcChain>
</file>

<file path=xl/comments1.xml><?xml version="1.0" encoding="utf-8"?>
<comments xmlns="http://schemas.openxmlformats.org/spreadsheetml/2006/main">
  <authors>
    <author>Djamshid Shermatov</author>
  </authors>
  <commentList>
    <comment ref="C4" authorId="0" shapeId="0">
      <text>
        <r>
          <rPr>
            <b/>
            <sz val="9"/>
            <color indexed="81"/>
            <rFont val="Tahoma"/>
            <family val="2"/>
            <charset val="204"/>
          </rPr>
          <t>Djamshid Shermatov:</t>
        </r>
        <r>
          <rPr>
            <sz val="9"/>
            <color indexed="81"/>
            <rFont val="Tahoma"/>
            <family val="2"/>
            <charset val="204"/>
          </rPr>
          <t xml:space="preserve">
</t>
        </r>
        <r>
          <rPr>
            <sz val="13"/>
            <color indexed="81"/>
            <rFont val="Arial"/>
            <family val="2"/>
            <charset val="204"/>
          </rPr>
          <t>Faqat Sariqqa bo‘yalgan qizmi o‘zgartiriladi.</t>
        </r>
      </text>
    </comment>
    <comment ref="C5" authorId="0" shapeId="0">
      <text>
        <r>
          <rPr>
            <b/>
            <sz val="9"/>
            <color indexed="81"/>
            <rFont val="Tahoma"/>
            <family val="2"/>
            <charset val="204"/>
          </rPr>
          <t>Djamshid Shermatov:</t>
        </r>
        <r>
          <rPr>
            <sz val="9"/>
            <color indexed="81"/>
            <rFont val="Tahoma"/>
            <family val="2"/>
            <charset val="204"/>
          </rPr>
          <t xml:space="preserve">
</t>
        </r>
        <r>
          <rPr>
            <sz val="13"/>
            <color indexed="81"/>
            <rFont val="Arial"/>
            <family val="2"/>
            <charset val="204"/>
          </rPr>
          <t>Faqat Sariqqa bo‘yalgan qizmi o‘zgartiriladi.</t>
        </r>
      </text>
    </comment>
    <comment ref="C6" authorId="0" shapeId="0">
      <text>
        <r>
          <rPr>
            <b/>
            <sz val="9"/>
            <color indexed="81"/>
            <rFont val="Tahoma"/>
            <family val="2"/>
            <charset val="204"/>
          </rPr>
          <t>Djamshid Shermatov:</t>
        </r>
        <r>
          <rPr>
            <sz val="9"/>
            <color indexed="81"/>
            <rFont val="Tahoma"/>
            <family val="2"/>
            <charset val="204"/>
          </rPr>
          <t xml:space="preserve">
</t>
        </r>
        <r>
          <rPr>
            <sz val="13"/>
            <color indexed="81"/>
            <rFont val="Arial"/>
            <family val="2"/>
            <charset val="204"/>
          </rPr>
          <t>Faqat Sariqqa bo‘yalgan qizmi o‘zgartiriladi.</t>
        </r>
      </text>
    </comment>
  </commentList>
</comments>
</file>

<file path=xl/comments2.xml><?xml version="1.0" encoding="utf-8"?>
<comments xmlns="http://schemas.openxmlformats.org/spreadsheetml/2006/main">
  <authors>
    <author>Djamshid Shermatov</author>
  </authors>
  <commentList>
    <comment ref="K6" authorId="0" shapeId="0">
      <text>
        <r>
          <rPr>
            <b/>
            <sz val="14"/>
            <color indexed="81"/>
            <rFont val="Tahoma"/>
            <family val="2"/>
            <charset val="204"/>
          </rPr>
          <t>Djamshid Shermatov: Formula shu yerdan pastga qarab tortiladi. Ushbu yacheyka o'chirilmasin.</t>
        </r>
      </text>
    </comment>
  </commentList>
</comments>
</file>

<file path=xl/sharedStrings.xml><?xml version="1.0" encoding="utf-8"?>
<sst xmlns="http://schemas.openxmlformats.org/spreadsheetml/2006/main" count="572" uniqueCount="382">
  <si>
    <t>USD</t>
  </si>
  <si>
    <t>Стоимость проекта</t>
  </si>
  <si>
    <t>Сумма кредита</t>
  </si>
  <si>
    <t>Собственные средства</t>
  </si>
  <si>
    <t>Льготный период по осн. долгу (месяцев)</t>
  </si>
  <si>
    <t>Альтман модели</t>
  </si>
  <si>
    <t>Наименавание коэфиициента</t>
  </si>
  <si>
    <t>Вес коэффициента</t>
  </si>
  <si>
    <t>Способ расчета</t>
  </si>
  <si>
    <t>Результат коэффициента</t>
  </si>
  <si>
    <t xml:space="preserve">Финальный результат </t>
  </si>
  <si>
    <t xml:space="preserve">Debt Service Coverage Ratio – Қарзга хизмат кўрсатиш коэффициенти Корхонанинг Операцион фойдаси </t>
  </si>
  <si>
    <t>Ф2 240 / (Ф1 570 + Ф1 730 + Ф2 180)</t>
  </si>
  <si>
    <t>Синф</t>
  </si>
  <si>
    <t>Тавсифи</t>
  </si>
  <si>
    <t>Баллар</t>
  </si>
  <si>
    <t>Debt/EBITDA – Умумий қарзининг корхона EBITDA даромади</t>
  </si>
  <si>
    <t>Ф2 240 / (Ф1 770 + Ф1 021)</t>
  </si>
  <si>
    <t>Мутлоқ тўловга лаёқатли</t>
  </si>
  <si>
    <t>20 баллга тенг ва юқори</t>
  </si>
  <si>
    <t>Liquidity ratio – Жорий ликвидлик коэффициенти.</t>
  </si>
  <si>
    <t>Ф1 390 / Ф1 600</t>
  </si>
  <si>
    <t>Меъёр даражасида тўловга лаёқатли</t>
  </si>
  <si>
    <t>15 баллга тенг ва юқори</t>
  </si>
  <si>
    <t xml:space="preserve">Leverage – Молиявий мустақиллик коэффициенти. </t>
  </si>
  <si>
    <t>Ф1 480 / Ф1 400</t>
  </si>
  <si>
    <t>Паст даражада тўловга лаёқатли</t>
  </si>
  <si>
    <t>10 баллга тенг ва юқори</t>
  </si>
  <si>
    <t>Sufficiency of WC – Соф айланма активлар билан таъминганлик коэффициенти</t>
  </si>
  <si>
    <t>Ф1 390 /Ф1 400</t>
  </si>
  <si>
    <t>Молиявий барқарор бўлмаган</t>
  </si>
  <si>
    <t xml:space="preserve">   5 баллга тенг ва юқори</t>
  </si>
  <si>
    <t>Риск юқори</t>
  </si>
  <si>
    <t xml:space="preserve">   5 баллдан паст</t>
  </si>
  <si>
    <t>Z=0,717x_1+ 0,847x_2+3,107x_3+0,420x_4+0,998x_5</t>
  </si>
  <si>
    <t>x_1 = Оборот капитали / Жами активлар</t>
  </si>
  <si>
    <t>Ф1 390 / Ф1 400</t>
  </si>
  <si>
    <t>Балл</t>
  </si>
  <si>
    <t>x_2 = Тақсимланмаган фойда / Жами активлар</t>
  </si>
  <si>
    <t>Ф1 450 / Ф1 400</t>
  </si>
  <si>
    <t>Банкротликка учраши эҳтимоллиги юқори бўлган корхона.</t>
  </si>
  <si>
    <t>   Z &lt; 1.23</t>
  </si>
  <si>
    <t>x_3 = Операцион фойда (Солиқ ва фоиз тўлагунга қадар фойда) / Жами активлар</t>
  </si>
  <si>
    <t>Ф2 240 / Ф1 400</t>
  </si>
  <si>
    <t xml:space="preserve">Банкротлик ҳолати ноаниқ бўлган корхона, (башорат қилиб бўлмайди). </t>
  </si>
  <si>
    <t>1.23 &lt; Z &lt; 2.89</t>
  </si>
  <si>
    <t>x_4 = Ўз маблағларини баланс қиймати / Жами мажбуриятлар</t>
  </si>
  <si>
    <t>Ф1 480 / Ф1 770</t>
  </si>
  <si>
    <t>Банкротликка учраш эҳтимоллиги паст ва молиявий барқарор корхона.</t>
  </si>
  <si>
    <t xml:space="preserve">Z &gt; 2.9 </t>
  </si>
  <si>
    <t>x_5 = Соф тушум / Жами активлар</t>
  </si>
  <si>
    <t>Ф2 010 / Ф1 400</t>
  </si>
  <si>
    <t>NPV/IRR</t>
  </si>
  <si>
    <t>Период</t>
  </si>
  <si>
    <t>Поток наличности</t>
  </si>
  <si>
    <t>Ставка Дисконта</t>
  </si>
  <si>
    <t>NPV</t>
  </si>
  <si>
    <t>IRR</t>
  </si>
  <si>
    <t>Залог</t>
  </si>
  <si>
    <t>Адрес объекта залога/
поручителя</t>
  </si>
  <si>
    <t>Оценочная стоимость (Независимая оценка), сум</t>
  </si>
  <si>
    <t>Оценка сотрудников ГО (КАД)</t>
  </si>
  <si>
    <t>Залоговая стоимость (акт оценки), сум</t>
  </si>
  <si>
    <t>Удельный вес</t>
  </si>
  <si>
    <t>Жами:</t>
  </si>
  <si>
    <t>Кредитная нагрузка</t>
  </si>
  <si>
    <t>Кредитная нагрузка относительно оборотов</t>
  </si>
  <si>
    <t>Среднемесячный оборот по счёту</t>
  </si>
  <si>
    <t>%</t>
  </si>
  <si>
    <t>Хулоса</t>
  </si>
  <si>
    <t>Максимальный
 балл 50</t>
  </si>
  <si>
    <t>Модель Альтмана</t>
  </si>
  <si>
    <t>Кредитная история</t>
  </si>
  <si>
    <t>Итого:</t>
  </si>
  <si>
    <t>Низкий риск (41-50)</t>
  </si>
  <si>
    <t>Средний риск (26-40)</t>
  </si>
  <si>
    <t>Высокий риск (16-25)</t>
  </si>
  <si>
    <t>Критик (0-15)</t>
  </si>
  <si>
    <t>Korxonaning moliyaviy holatini korxona faoliyati uchun muhim bo‘lgan 5 ta koeffitsiyentlar asosida baholash</t>
  </si>
  <si>
    <t>Наименавание</t>
  </si>
  <si>
    <t xml:space="preserve">Строка </t>
  </si>
  <si>
    <t xml:space="preserve">Остаток на отчетную дату </t>
  </si>
  <si>
    <r>
      <rPr>
        <b/>
        <sz val="13"/>
        <rFont val="Arial"/>
        <family val="2"/>
        <charset val="204"/>
      </rPr>
      <t>Ф2:</t>
    </r>
    <r>
      <rPr>
        <sz val="13"/>
        <rFont val="Arial"/>
        <family val="2"/>
        <charset val="204"/>
      </rPr>
      <t xml:space="preserve"> 240 / (</t>
    </r>
    <r>
      <rPr>
        <b/>
        <sz val="13"/>
        <rFont val="Arial"/>
        <family val="2"/>
        <charset val="204"/>
      </rPr>
      <t>Ф1:</t>
    </r>
    <r>
      <rPr>
        <sz val="13"/>
        <rFont val="Arial"/>
        <family val="2"/>
        <charset val="204"/>
      </rPr>
      <t xml:space="preserve"> 570 + </t>
    </r>
    <r>
      <rPr>
        <b/>
        <sz val="13"/>
        <rFont val="Arial"/>
        <family val="2"/>
        <charset val="204"/>
      </rPr>
      <t>Ф1:</t>
    </r>
    <r>
      <rPr>
        <sz val="13"/>
        <rFont val="Arial"/>
        <family val="2"/>
        <charset val="204"/>
      </rPr>
      <t xml:space="preserve"> 730 + </t>
    </r>
    <r>
      <rPr>
        <b/>
        <sz val="13"/>
        <rFont val="Arial"/>
        <family val="2"/>
        <charset val="204"/>
      </rPr>
      <t>Ф2:</t>
    </r>
    <r>
      <rPr>
        <sz val="13"/>
        <rFont val="Arial"/>
        <family val="2"/>
        <charset val="204"/>
      </rPr>
      <t xml:space="preserve"> 180)</t>
    </r>
  </si>
  <si>
    <t>Сумма амортизации (0200)</t>
  </si>
  <si>
    <t>Ф1 011</t>
  </si>
  <si>
    <t>Debt/EBITDA – Умумий қарзнининг корхона EBITDA даромади</t>
  </si>
  <si>
    <r>
      <rPr>
        <b/>
        <sz val="13"/>
        <rFont val="Arial"/>
        <family val="2"/>
        <charset val="204"/>
      </rPr>
      <t>Ф2:</t>
    </r>
    <r>
      <rPr>
        <sz val="13"/>
        <rFont val="Arial"/>
        <family val="2"/>
        <charset val="204"/>
      </rPr>
      <t xml:space="preserve"> 240 / (</t>
    </r>
    <r>
      <rPr>
        <b/>
        <sz val="13"/>
        <rFont val="Arial"/>
        <family val="2"/>
        <charset val="204"/>
      </rPr>
      <t>Ф1</t>
    </r>
    <r>
      <rPr>
        <sz val="13"/>
        <rFont val="Arial"/>
        <family val="2"/>
        <charset val="204"/>
      </rPr>
      <t xml:space="preserve">: 770 + </t>
    </r>
    <r>
      <rPr>
        <b/>
        <sz val="13"/>
        <rFont val="Arial"/>
        <family val="2"/>
        <charset val="204"/>
      </rPr>
      <t>Ф1</t>
    </r>
    <r>
      <rPr>
        <sz val="13"/>
        <rFont val="Arial"/>
        <family val="2"/>
        <charset val="204"/>
      </rPr>
      <t>: 011)</t>
    </r>
  </si>
  <si>
    <t xml:space="preserve">Mutlaq to‘lovga layoqatli </t>
  </si>
  <si>
    <t>20 ballga teng va yuqori</t>
  </si>
  <si>
    <t>Итого по разделу II тек актив (стр. 140+190+200+210+320+370+380)</t>
  </si>
  <si>
    <t>Ф1 390</t>
  </si>
  <si>
    <r>
      <rPr>
        <b/>
        <sz val="13"/>
        <rFont val="Arial"/>
        <family val="2"/>
        <charset val="204"/>
      </rPr>
      <t>Ф1:</t>
    </r>
    <r>
      <rPr>
        <sz val="13"/>
        <rFont val="Arial"/>
        <family val="2"/>
        <charset val="204"/>
      </rPr>
      <t xml:space="preserve"> 390 / </t>
    </r>
    <r>
      <rPr>
        <b/>
        <sz val="13"/>
        <rFont val="Arial"/>
        <family val="2"/>
        <charset val="204"/>
      </rPr>
      <t>Ф1</t>
    </r>
    <r>
      <rPr>
        <sz val="13"/>
        <rFont val="Arial"/>
        <family val="2"/>
        <charset val="204"/>
      </rPr>
      <t>: 600</t>
    </r>
  </si>
  <si>
    <t>Me’yor darajasida toʻlovga layoqatli</t>
  </si>
  <si>
    <t>15 ballga teng va yuqori</t>
  </si>
  <si>
    <t>Всего по активу баланса (стр.130+стр.390)</t>
  </si>
  <si>
    <t>Ф1 400</t>
  </si>
  <si>
    <r>
      <rPr>
        <b/>
        <sz val="13"/>
        <rFont val="Arial"/>
        <family val="2"/>
        <charset val="204"/>
      </rPr>
      <t>Ф1</t>
    </r>
    <r>
      <rPr>
        <sz val="13"/>
        <rFont val="Arial"/>
        <family val="2"/>
        <charset val="204"/>
      </rPr>
      <t xml:space="preserve"> 480 / </t>
    </r>
    <r>
      <rPr>
        <b/>
        <sz val="13"/>
        <rFont val="Arial"/>
        <family val="2"/>
        <charset val="204"/>
      </rPr>
      <t>Ф1</t>
    </r>
    <r>
      <rPr>
        <sz val="13"/>
        <rFont val="Arial"/>
        <family val="2"/>
        <charset val="204"/>
      </rPr>
      <t>: 400</t>
    </r>
  </si>
  <si>
    <t>Past darajada toʻlovga layoqatli</t>
  </si>
  <si>
    <t>10 ballga teng va yuqori</t>
  </si>
  <si>
    <t>Нераспределенная прибыль (непокрытый убыток) (8700)</t>
  </si>
  <si>
    <t>Ф1 450</t>
  </si>
  <si>
    <r>
      <rPr>
        <b/>
        <sz val="13"/>
        <rFont val="Arial"/>
        <family val="2"/>
        <charset val="204"/>
      </rPr>
      <t xml:space="preserve">Ф1 </t>
    </r>
    <r>
      <rPr>
        <sz val="13"/>
        <rFont val="Arial"/>
        <family val="2"/>
        <charset val="204"/>
      </rPr>
      <t>390 /</t>
    </r>
    <r>
      <rPr>
        <b/>
        <sz val="13"/>
        <rFont val="Arial"/>
        <family val="2"/>
        <charset val="204"/>
      </rPr>
      <t>Ф1:</t>
    </r>
    <r>
      <rPr>
        <sz val="13"/>
        <rFont val="Arial"/>
        <family val="2"/>
        <charset val="204"/>
      </rPr>
      <t xml:space="preserve"> 400</t>
    </r>
  </si>
  <si>
    <t>Moliyaviy barqaror boʻlmagan</t>
  </si>
  <si>
    <t>5 ballga teng va yuqori</t>
  </si>
  <si>
    <t>итого капитал</t>
  </si>
  <si>
    <t>Ф1 480</t>
  </si>
  <si>
    <t>Risk yuqori</t>
  </si>
  <si>
    <t>5 balldan past</t>
  </si>
  <si>
    <t>Долгосрочные банковские кредиты (7810)</t>
  </si>
  <si>
    <t>Ф1 570</t>
  </si>
  <si>
    <t>Текущие обязательства,всего (стр.610+630+640+650+660+670 +680+690+700+710+720+730+740+750+760)</t>
  </si>
  <si>
    <t>Ф1 600</t>
  </si>
  <si>
    <t>Edward Altman modeli asosida korxonaning bankrotlikka uchrash ehtimolligini aniqlash</t>
  </si>
  <si>
    <t>Краткосрочные банковские кредиты (6810)</t>
  </si>
  <si>
    <t>Ф1 730</t>
  </si>
  <si>
    <t>E.Altman modeli (Z) =0,717x_1+ 0,847x_2+3,107x_3+0,420x_4+0,998x_5</t>
  </si>
  <si>
    <t>итого Обя</t>
  </si>
  <si>
    <t>Ф1 770</t>
  </si>
  <si>
    <t>Чистая выручка от реализации продукции (товаров, работ и услуг)</t>
  </si>
  <si>
    <t>Ф2 010</t>
  </si>
  <si>
    <t>Расходы в виде процентов</t>
  </si>
  <si>
    <t>Ф2 180</t>
  </si>
  <si>
    <t>Прибыль (убыток) до уплаты налога на прибыль (стр.220+/-230)</t>
  </si>
  <si>
    <t>Ф2 240</t>
  </si>
  <si>
    <t>Bankrotlikka uchrash ehtimolligi past va moliyaviy barqaror korxona.</t>
  </si>
  <si>
    <t xml:space="preserve">Bankrotlik holati noaniq boʻlgan korxona, (bashorat qilib boʻlmaydi). </t>
  </si>
  <si>
    <t>Умумий балл:</t>
  </si>
  <si>
    <t>Bankrotlikka uchrashi ehtimolligi yuqori boʻlgan korxona.</t>
  </si>
  <si>
    <t>LOYIHANING TEXNIK IQTISODIY ASOSLARI KO‘RSATKICHLARI.</t>
  </si>
  <si>
    <t>Loyiha valyutasi</t>
  </si>
  <si>
    <t>NPV va IRR hisoblanishi</t>
  </si>
  <si>
    <t>Loyiha summasi</t>
  </si>
  <si>
    <t>Davr</t>
  </si>
  <si>
    <t>Loyiha bo‘yicha tushumlar sanasi</t>
  </si>
  <si>
    <t>Sof pul oqimi</t>
  </si>
  <si>
    <t>Diskont stavka</t>
  </si>
  <si>
    <t>Kredit summasi</t>
  </si>
  <si>
    <t>Korxonaning loyihadagi o‘z ulushi summasi</t>
  </si>
  <si>
    <t>Kredit summasining loyihadagi ulushi (%)</t>
  </si>
  <si>
    <t>Formula shu yerdan pastga qarab tortiladi. Ushbu satr o'chirilmasin.</t>
  </si>
  <si>
    <t>Korxonaning loyihadagi o‘z ulushi foizi  (%)</t>
  </si>
  <si>
    <t>Kredit foizi</t>
  </si>
  <si>
    <t>Chet el valyutasidagi bank kreditlari bo‘yicha foiz stavkasi (Markaziy bankning statistik byulleteni)</t>
  </si>
  <si>
    <t>WACC (Ставка Дисконта)</t>
  </si>
  <si>
    <t>Ball</t>
  </si>
  <si>
    <t>Tavsifi</t>
  </si>
  <si>
    <t>Sinflar</t>
  </si>
  <si>
    <t>Kredit muddati (oy/yil)</t>
  </si>
  <si>
    <t>Loyiha 4 oy muddatda o‘zini oqlaydi.</t>
  </si>
  <si>
    <t>0,00-0,22</t>
  </si>
  <si>
    <t>NPV nechanchi oy/yilda musbat bo'ladi</t>
  </si>
  <si>
    <t>Loyiha 8 oy muddatda o‘zini oqlaydi.</t>
  </si>
  <si>
    <t>0,23-0,44</t>
  </si>
  <si>
    <t>Loyiha 12 oy muddatda o‘zini oqlaydi.</t>
  </si>
  <si>
    <t>0,45-0,67</t>
  </si>
  <si>
    <t>Loyiha 16 oy muddatda o‘zini oqlaydi.</t>
  </si>
  <si>
    <t>0,68-0,89</t>
  </si>
  <si>
    <t>Loyiha kredit muddatida bajariladi</t>
  </si>
  <si>
    <t>0,89-1,00</t>
  </si>
  <si>
    <t>Loyiha kredit muddatida bajarilmaydi</t>
  </si>
  <si>
    <t>1,00 &lt;</t>
  </si>
  <si>
    <t>Ball uchun qiymat</t>
  </si>
  <si>
    <t>СТРУКТУРИРОВАНИЕ ОБЕСПЕЧЕНИЯ ПО КРЕДИТУ</t>
  </si>
  <si>
    <t>Планируемое обеспечение по кредиту</t>
  </si>
  <si>
    <t>Информации по имущественным залогам</t>
  </si>
  <si>
    <t>№</t>
  </si>
  <si>
    <t xml:space="preserve">Тип залога
</t>
  </si>
  <si>
    <t>Описание залога</t>
  </si>
  <si>
    <t>Условия залога
Не последующий залог</t>
  </si>
  <si>
    <t>Свободная часть последующего залог</t>
  </si>
  <si>
    <t>Дисконт оценки, %</t>
  </si>
  <si>
    <r>
      <t xml:space="preserve">Общая </t>
    </r>
    <r>
      <rPr>
        <b/>
        <sz val="13"/>
        <color indexed="10"/>
        <rFont val="Arial"/>
        <family val="2"/>
        <charset val="204"/>
      </rPr>
      <t>земельная площадь</t>
    </r>
    <r>
      <rPr>
        <b/>
        <sz val="13"/>
        <color indexed="8"/>
        <rFont val="Arial"/>
        <family val="2"/>
        <charset val="204"/>
      </rPr>
      <t>, кв.м. - недвижимость</t>
    </r>
  </si>
  <si>
    <t>Стоимость по
 E-Baholash</t>
  </si>
  <si>
    <t>Кадастровый номер / Номер кузова автомобиля/Стоимость по ГТД, в валюте - если оборудование</t>
  </si>
  <si>
    <t>ИНН 
залогодателя</t>
  </si>
  <si>
    <t>до выдачи кредита</t>
  </si>
  <si>
    <t>ВСЕГО до выдача кредита</t>
  </si>
  <si>
    <t>ВСЕГО после выдача кредита</t>
  </si>
  <si>
    <t>после выдачи кредита</t>
  </si>
  <si>
    <t>ИТОГО</t>
  </si>
  <si>
    <t>Quyidagilar ta'minot sifatida qabul qilinishi mumkin:</t>
  </si>
  <si>
    <t>Likvidlilik darajasi</t>
  </si>
  <si>
    <t>Vazni</t>
  </si>
  <si>
    <t>Ta'minot ulushi</t>
  </si>
  <si>
    <t>O'zbekiston Respublikasi Hukumatining (bundan buyon matnda Hukumat deb yuritiladi)
kafolati;</t>
  </si>
  <si>
    <t>Eng yuqori likvidli garov</t>
  </si>
  <si>
    <t>Tijorat banklarida ochilgan hisobvaraqlardagi milliy va xorijiy valyutada shakllantirilgan depozitlar, shuningdek, depozit sertifikatlari shaklidagi garov;</t>
  </si>
  <si>
    <t>Davlat qimmatli qog'ozlari garovi;</t>
  </si>
  <si>
    <t>Markaziy bankning qimmatli qog'ozlari shaklidagi gаrоч;</t>
  </si>
  <si>
    <t>Jahon banki guruhi (Хаlqаrо tiklanish va taraqqiyot banki, Xalqaro moliya korporatsiyasi, Xalqaro investitsiyalarni kafolatlash agentligi, Xalqaro taraqqiyot assotsiatsiyasi) hamda Osiyo taraqqiyot banki, Osiyo infrastruktura investitsiya banki, Yevropa tiklanish va taraqqiyot banki, Yevropa investitsiya banki, Yevropa investitsiya jamg'armasi, Islom taraqqiyot banki va Yevropa Kengashining taraqqiyot banklari kafolati;</t>
  </si>
  <si>
    <t>Qimmatbaho metallar shaklidagi oltin va kumush quymalari shaklidagi zaka|at;</t>
  </si>
  <si>
    <t>Ko'chmas mulk, jumladan, pudrat tashkilotlariga ajratiladigan kreditlar bo'yicha davlat ro'yxatidan o'tkazilgan, ko'p qavatli uy-joylarning qurilishi yakunlangan qismi (qavatlari) garovi (bosqichma-bosqich garovga olinishi mumkin);</t>
  </si>
  <si>
    <t>O'rta darajadagi likvidli garov</t>
  </si>
  <si>
    <t>Qurilishi tugallanmagan binolar</t>
  </si>
  <si>
    <t>Asbob-uskuna</t>
  </si>
  <si>
    <t>Past darajadagi likvidli garov</t>
  </si>
  <si>
    <t>Maxsus texnika</t>
  </si>
  <si>
    <t>Xo'jalik jamiyatidagi ulushga bo'lgan huquq;</t>
  </si>
  <si>
    <t>Boshqa qimmatli qog'ozlar shaklidagi garov;</t>
  </si>
  <si>
    <t>Quyi darajadagi likvidli garov</t>
  </si>
  <si>
    <t>Yuridik va jismoniy shaxslarning kafilliklari;</t>
  </si>
  <si>
    <t>Boshqa tijorat banklari va sug'urta tashkilotlari kafolatlari;</t>
  </si>
  <si>
    <t>O'z faoliyatini qonunchilikda belgilangan tartibda аmаlgа oshiruvchi, tegishli litsenziyaga еgа sug'urta kompaniyalarining kreditni qaytaгilmaslik xatarining sug'urtalanganligi to'g'risidagi sug'urta polislari ча O'zbekiston Respublikasi qonunchiligida ko'zda tutilgan boshqa ta'minot turlari.</t>
  </si>
  <si>
    <t>Sinf</t>
  </si>
  <si>
    <t>8-9,9</t>
  </si>
  <si>
    <t>6-7,9</t>
  </si>
  <si>
    <t>4-5,9</t>
  </si>
  <si>
    <t>2,1-3,9</t>
  </si>
  <si>
    <t>0-2</t>
  </si>
  <si>
    <t>Информации о неимущественном обеспечений</t>
  </si>
  <si>
    <t xml:space="preserve">Тип поручительство
</t>
  </si>
  <si>
    <t>Наименования поручителя</t>
  </si>
  <si>
    <t>Категория поручительство</t>
  </si>
  <si>
    <t>Валюта поручительство</t>
  </si>
  <si>
    <t>Сумма поручительства</t>
  </si>
  <si>
    <r>
      <t xml:space="preserve">Чистые активы </t>
    </r>
    <r>
      <rPr>
        <sz val="13"/>
        <rFont val="Arial"/>
        <family val="2"/>
        <charset val="204"/>
      </rPr>
      <t>(строка 480 баланса поручителя)</t>
    </r>
  </si>
  <si>
    <t>Максимально допустимая сумма поручительства</t>
  </si>
  <si>
    <t>ВСЕГО</t>
  </si>
  <si>
    <t>ВСЕГО (имущественный залог + неимущественный залог)</t>
  </si>
  <si>
    <t>Информация о действующих обязательствах (данные берутся с АСОКИ и КАТМ)</t>
  </si>
  <si>
    <t>Банк кредитор</t>
  </si>
  <si>
    <t>Филиал</t>
  </si>
  <si>
    <t xml:space="preserve">Тип продукта </t>
  </si>
  <si>
    <t>Вид кредита</t>
  </si>
  <si>
    <t>Сумма договора
(в номинале)</t>
  </si>
  <si>
    <t>Дата 
начала</t>
  </si>
  <si>
    <t>Дата 
погашения</t>
  </si>
  <si>
    <t>Остаток срочного основного долга (номинал)</t>
  </si>
  <si>
    <t>Остаток 
просроченного основного долга  (номинал)</t>
  </si>
  <si>
    <t>Остаток 
просроченных % (номинал)</t>
  </si>
  <si>
    <t>Остаток % на счёте 91501 (номинал)</t>
  </si>
  <si>
    <t>% ставка по кредиту</t>
  </si>
  <si>
    <t>Ежемесячный платеж по кредиту</t>
  </si>
  <si>
    <t>ИТОГО долг клиента (номинал и эквивалент)</t>
  </si>
  <si>
    <t>Кол-во случаев переходящего просроченного основного долга на следующий месяц по кредитам MKB за последние 12 месяцев</t>
  </si>
  <si>
    <t>15=9+10+14</t>
  </si>
  <si>
    <t>Курс доллара США</t>
  </si>
  <si>
    <t>сум</t>
  </si>
  <si>
    <t>Курс ЕВРО</t>
  </si>
  <si>
    <t>Курс РУБЛ</t>
  </si>
  <si>
    <t>Базовая расчетная величина</t>
  </si>
  <si>
    <t xml:space="preserve"> </t>
  </si>
  <si>
    <t>ИТОГО UZS</t>
  </si>
  <si>
    <t>-</t>
  </si>
  <si>
    <t>UZS</t>
  </si>
  <si>
    <t>ИТОГО USD</t>
  </si>
  <si>
    <t>ИТОГО EUR</t>
  </si>
  <si>
    <t>EUR</t>
  </si>
  <si>
    <t>Jami</t>
  </si>
  <si>
    <t>Ежемесячная нагрузка по оплате</t>
  </si>
  <si>
    <t>Yangi kredit uchun maksimal oylik to‘lov</t>
  </si>
  <si>
    <t>Jami oylik to'lov</t>
  </si>
  <si>
    <t xml:space="preserve">Кредит қарздорлиги йуқ, корхона томонидан олиндан кредит қарзларни ўз вақтида ва муддатидан аввал тўланган. </t>
  </si>
  <si>
    <t>Кредит маблағлари олинган, бугунги кунда муддати ўтган қарздорлиги йуқ.</t>
  </si>
  <si>
    <t>Корхона томонидан кредит маблағлари олинмаган. (Тўлаш қобилияти аниқ бўлмаганлиги учун)</t>
  </si>
  <si>
    <t>Кредит маблағлари олинган, бугунги кунда муддати ўтган қарздорлиги бор.</t>
  </si>
  <si>
    <t>Кредит маблағлари олинган, муддати ўтган қарздорлиги бор, кўп марта графикни бўзиб тўлаган, судга оширилган.</t>
  </si>
  <si>
    <r>
      <t xml:space="preserve"> Информация об оборотах компани по расчётным счетам </t>
    </r>
    <r>
      <rPr>
        <b/>
        <sz val="13"/>
        <color indexed="10"/>
        <rFont val="Arial"/>
        <family val="2"/>
        <charset val="204"/>
      </rPr>
      <t>(наличие других счетов сверить с НИББД)</t>
    </r>
  </si>
  <si>
    <t>Обслуживающий банк</t>
  </si>
  <si>
    <t>Расчетный счет</t>
  </si>
  <si>
    <t>Период (начало-конец)</t>
  </si>
  <si>
    <t>Валюта счёта</t>
  </si>
  <si>
    <t>Дебет</t>
  </si>
  <si>
    <t>Кредит</t>
  </si>
  <si>
    <t>ИТОГО РУБЛЬ</t>
  </si>
  <si>
    <t>РУБЛЬ</t>
  </si>
  <si>
    <t>Соха</t>
  </si>
  <si>
    <t>O’rtacha 1 oylik debet aylnama</t>
  </si>
  <si>
    <t>O’rtacha 1 oylik qarz yuki</t>
  </si>
  <si>
    <t>Nisbati</t>
  </si>
  <si>
    <t xml:space="preserve">Yaxshi </t>
  </si>
  <si>
    <t>(0-20% гача)</t>
  </si>
  <si>
    <t>Qoniqarli</t>
  </si>
  <si>
    <t>20%-30% гача)</t>
  </si>
  <si>
    <t>Qoniqarsiz</t>
  </si>
  <si>
    <t>(30%-50% гача)</t>
  </si>
  <si>
    <t xml:space="preserve">O‘ta qoniqarsiz </t>
  </si>
  <si>
    <t>(50-100% ва ундан юқори)</t>
  </si>
  <si>
    <t>≥29%</t>
  </si>
  <si>
    <t>26%&lt;….&lt;29%</t>
  </si>
  <si>
    <t>&lt;26%</t>
  </si>
  <si>
    <t>max</t>
  </si>
  <si>
    <t>Ijtimoiy kreditlar portfeli / Bank kredit porfeli</t>
  </si>
  <si>
    <t>≥25%</t>
  </si>
  <si>
    <t>22%&lt;….&lt;25%</t>
  </si>
  <si>
    <t>&lt;22%</t>
  </si>
  <si>
    <t>Chakana biznes portfeli / Bank kredit porfeli</t>
  </si>
  <si>
    <t>Kichik biznes portfeli / Bank kredit porfeli</t>
  </si>
  <si>
    <t>Past risk</t>
  </si>
  <si>
    <t>≥45%</t>
  </si>
  <si>
    <t>44%&lt;….&lt;45%</t>
  </si>
  <si>
    <t>&lt;44%</t>
  </si>
  <si>
    <t>Korporativ biznes portfeli / Bank kredit porfeli</t>
  </si>
  <si>
    <t>Kredit ajratilgach</t>
  </si>
  <si>
    <t>Bank kredit portfeli</t>
  </si>
  <si>
    <t>Ajratilayotgan kredit summasi</t>
  </si>
  <si>
    <t>Segment porfeli</t>
  </si>
  <si>
    <t>Yuqori risk</t>
  </si>
  <si>
    <t>O‘rta risk</t>
  </si>
  <si>
    <t>Signal chegarasi</t>
  </si>
  <si>
    <t>Limit chegarasi</t>
  </si>
  <si>
    <t>Max/min</t>
  </si>
  <si>
    <t>Ko`rsatkichlar</t>
  </si>
  <si>
    <t>≥30%</t>
  </si>
  <si>
    <t>28%&lt;….&lt;30%</t>
  </si>
  <si>
    <t>&lt;28%</t>
  </si>
  <si>
    <t>≥24%</t>
  </si>
  <si>
    <t>22%&lt;….&lt;24%</t>
  </si>
  <si>
    <t>Segment portfeli</t>
  </si>
  <si>
    <t>Riskka tortilgan kreditlar porfeli</t>
  </si>
  <si>
    <r>
      <t>Валюта кредита (</t>
    </r>
    <r>
      <rPr>
        <b/>
        <u/>
        <sz val="13"/>
        <rFont val="Arial"/>
        <family val="2"/>
        <charset val="204"/>
      </rPr>
      <t>UZS,</t>
    </r>
    <r>
      <rPr>
        <b/>
        <sz val="13"/>
        <rFont val="Arial"/>
        <family val="2"/>
        <charset val="204"/>
      </rPr>
      <t xml:space="preserve"> USD, EUR)</t>
    </r>
  </si>
  <si>
    <t>Sof pul oqimi (kredit to‘lovlaridan keyin)</t>
  </si>
  <si>
    <t>Kredit berishning moliyaviy ko'rsatkichlarga ta'siri</t>
  </si>
  <si>
    <t xml:space="preserve">Summa </t>
  </si>
  <si>
    <t>Muddat</t>
  </si>
  <si>
    <t>USDUZS</t>
  </si>
  <si>
    <t>Ko'rsatkichlar</t>
  </si>
  <si>
    <t>Kredit ajratilgandan keyingi holat</t>
  </si>
  <si>
    <t>O'zgarishi</t>
  </si>
  <si>
    <t>Milliy valyuta</t>
  </si>
  <si>
    <t>Xorijiy valyuta</t>
  </si>
  <si>
    <t>Yuqori likvidli aktivlarning jami aktivlardagi ulushi (YuLA, min 10%)</t>
  </si>
  <si>
    <t>Likvidlilikni qoplash me’yori (LCR, min 100%)</t>
  </si>
  <si>
    <t>Sof barqaror moliyashtirish me'yori (min 100%)</t>
  </si>
  <si>
    <t>RWA (min 13%)</t>
  </si>
  <si>
    <t>181-365 кун</t>
  </si>
  <si>
    <t>366-730 кун</t>
  </si>
  <si>
    <t>2 йилдан кўп</t>
  </si>
  <si>
    <t>Normativ  "L" fayl</t>
  </si>
  <si>
    <t>Joriy holat</t>
  </si>
  <si>
    <t>Kredit ajratilgandan so`ng</t>
  </si>
  <si>
    <t>Farqi</t>
  </si>
  <si>
    <t>Миллий валютада</t>
  </si>
  <si>
    <t>Хорижий валютада</t>
  </si>
  <si>
    <t>Жами</t>
  </si>
  <si>
    <t>Юқори ликвидли активларнинг жами активларга нисбати</t>
  </si>
  <si>
    <t>Юқори ликвидли активлар</t>
  </si>
  <si>
    <t>Жами активлар (РЕПО битимлари айрилган ҳолда)</t>
  </si>
  <si>
    <t>Ликвидлиликни қоплаш меъёри коэффициенти</t>
  </si>
  <si>
    <t>Кейинги 30 кун ичида соф чиқим</t>
  </si>
  <si>
    <t>30 кунлик чиқим суммаси</t>
  </si>
  <si>
    <t>30 кунлик кирим суммаси</t>
  </si>
  <si>
    <t>Соф барқарор молиялаштириш меъёри</t>
  </si>
  <si>
    <t>Барқарор молиялаштиришнинг мавжуд суммаси</t>
  </si>
  <si>
    <t>Хусусий капитал</t>
  </si>
  <si>
    <t>Бир йилдан ортиқ муддатли мажбуриятлар</t>
  </si>
  <si>
    <t>Бошқа муддатсиз мажбуриятларнинг 30 фоизи</t>
  </si>
  <si>
    <t>Бир йилдан кам муддатли жами мажбуриятларнинг 30 фоизи</t>
  </si>
  <si>
    <t>Барқарор молиялаштиришнинг зарур суммаси</t>
  </si>
  <si>
    <t>Бир йилдан ортиқ муддатли активлар</t>
  </si>
  <si>
    <t>Банкнинг бошқа хусусий мулклари, соф</t>
  </si>
  <si>
    <t>Суд жараёнида бўлган ёки белгиланган тартибда ундирилмаган кредит ва лизинглар, соф</t>
  </si>
  <si>
    <t>Суд жараёнида бўлган ёки белгиланган тартибда ундирилмаган активлар, соф (2.6.3-қаторда кўрсатилмаган қисми)</t>
  </si>
  <si>
    <t>Қайтариш муддати 1 йилдан кам бўлган бошқа активлар суммасининг 30 фоизи (қайтариш муддати 1 йилдан кам бўлган ёки муддатсиз ликвидли активлар бундан мустасно)</t>
  </si>
  <si>
    <t>Балансдан ташқари активларнинг 15 фоизи</t>
  </si>
  <si>
    <t>Normativ "C" fayl</t>
  </si>
  <si>
    <t>I darajali Kapital</t>
  </si>
  <si>
    <t>II darajali Kapital</t>
  </si>
  <si>
    <t>Jami regulyativ kapital</t>
  </si>
  <si>
    <t>Riskka tortilgan aktivlar</t>
  </si>
  <si>
    <t>I darajali Kapital yetarliligi</t>
  </si>
  <si>
    <t>Jami kapital yetarliligi</t>
  </si>
  <si>
    <t>Kredit portfeli</t>
  </si>
  <si>
    <t>jami kredit portfeli</t>
  </si>
  <si>
    <t>Korporativ biznes portfelidagi yuqori foizli kreditlar / Korporativ biznes portfeli</t>
  </si>
  <si>
    <t>Milliy valyutadagi bank kreditlari bo‘yicha foiz stavkasi (Markaziy bankning statistik byulleteni)</t>
  </si>
  <si>
    <t>Кўчмас мулк</t>
  </si>
  <si>
    <t>обеспечение</t>
  </si>
  <si>
    <t>льготн. п.</t>
  </si>
  <si>
    <r>
      <t xml:space="preserve">Ajratilayotgan kreditning Bank Risk Appetitiga </t>
    </r>
    <r>
      <rPr>
        <sz val="13"/>
        <color theme="1"/>
        <rFont val="Arial"/>
        <family val="2"/>
        <charset val="204"/>
      </rPr>
      <t>(Yuqori foiz stavkada ajratilgan kreditlarning kredit portfelidagi hamda sohalar bo‘yicha ulushlariga)</t>
    </r>
    <r>
      <rPr>
        <b/>
        <sz val="13"/>
        <color theme="1"/>
        <rFont val="Arial"/>
        <family val="2"/>
        <charset val="204"/>
      </rPr>
      <t xml:space="preserve"> ta'siri 01.12.2025</t>
    </r>
  </si>
  <si>
    <t>OOO NARPAY INVIST</t>
  </si>
  <si>
    <t>Агробанк</t>
  </si>
  <si>
    <r>
      <t xml:space="preserve">Ajratilayotgan kreditning Bank Risk Appetitiga </t>
    </r>
    <r>
      <rPr>
        <sz val="13"/>
        <color theme="1"/>
        <rFont val="Arial"/>
        <family val="2"/>
        <charset val="204"/>
      </rPr>
      <t>(Kredit mahsuloti turlarining kredit portfelidagi ulushiga)</t>
    </r>
    <r>
      <rPr>
        <b/>
        <sz val="13"/>
        <color theme="1"/>
        <rFont val="Arial"/>
        <family val="2"/>
        <charset val="204"/>
      </rPr>
      <t xml:space="preserve"> ta'siri 01.01.2026</t>
    </r>
  </si>
  <si>
    <t>Hozirgi holat 01.01.2026</t>
  </si>
  <si>
    <t>2025 йил якуни бўйича ҳисоботларига асосан</t>
  </si>
  <si>
    <t>“NARPAY GREEN HOUS 75” MCHJга тегишли Нарпай тумани, Оқ Олтин МФЙда жойлашган нотурар бино иншоати</t>
  </si>
  <si>
    <t>Қўшимча таъминот сифатида “NARPAY GREEN HOUSE 75” МCHJ ва фуқаро Улуғов Шухрат Ҳамдамовичларнинг 6.1 млрд. сўмдан кафилликлари</t>
  </si>
  <si>
    <t>Ускуналар-Суғурта полиси</t>
  </si>
  <si>
    <t>Кафиллик</t>
  </si>
  <si>
    <t>Кредит ҳисобига сотиб олиниши режалаштирилаётган мевани қайта ишлаб чиқариш ускуналари, етиб келгунига қадар кредит қайтмаслик хатари бўйича суғурта полиси</t>
  </si>
  <si>
    <t>20208000405612490001</t>
  </si>
  <si>
    <t>МКБ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</si>
</sst>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3" formatCode="_-* #,##0.00_-;\-* #,##0.00_-;_-* &quot;-&quot;??_-;_-@_-"/>
    <numFmt numFmtId="164" formatCode="_-* #,##0.00\ _₽_-;\-* #,##0.00\ _₽_-;_-* &quot;-&quot;??\ _₽_-;_-@_-"/>
    <numFmt numFmtId="165" formatCode="_-* #,##0\ _₽_-;\-* #,##0\ _₽_-;_-* &quot;-&quot;??\ _₽_-;_-@_-"/>
    <numFmt numFmtId="166" formatCode="#,##0.00;[Red]\(#,##0.00\)"/>
    <numFmt numFmtId="167" formatCode="#,##0;[Red]\(#,##0\)"/>
    <numFmt numFmtId="168" formatCode="0.0"/>
    <numFmt numFmtId="169" formatCode="0.0%"/>
    <numFmt numFmtId="170" formatCode="_-* #,##0_-;\-* #,##0_-;_-* &quot;-&quot;??_-;_-@_-"/>
    <numFmt numFmtId="171" formatCode="0.000%"/>
    <numFmt numFmtId="172" formatCode="_-* #,##0.000000_-;\-* #,##0.000000_-;_-* &quot;-&quot;??_-;_-@_-"/>
    <numFmt numFmtId="173" formatCode="0.00000%"/>
    <numFmt numFmtId="174" formatCode="0.0000000"/>
  </numFmts>
  <fonts count="50" x14ac:knownFonts="1">
    <font>
      <sz val="11"/>
      <color theme="1"/>
      <name val="Calibri"/>
      <family val="2"/>
      <charset val="204"/>
      <scheme val="minor"/>
    </font>
    <font>
      <sz val="11"/>
      <color theme="1"/>
      <name val="Calibri"/>
      <family val="2"/>
      <charset val="204"/>
      <scheme val="minor"/>
    </font>
    <font>
      <sz val="12"/>
      <color theme="1"/>
      <name val="Arial"/>
      <family val="2"/>
      <charset val="204"/>
    </font>
    <font>
      <sz val="12"/>
      <name val="Arial"/>
      <family val="2"/>
      <charset val="204"/>
    </font>
    <font>
      <sz val="12"/>
      <color theme="0"/>
      <name val="Arial"/>
      <family val="2"/>
      <charset val="204"/>
    </font>
    <font>
      <sz val="10"/>
      <name val="Arial"/>
      <family val="2"/>
      <charset val="204"/>
    </font>
    <font>
      <b/>
      <sz val="12"/>
      <color theme="0"/>
      <name val="Arial"/>
      <family val="2"/>
      <charset val="204"/>
    </font>
    <font>
      <b/>
      <sz val="20"/>
      <name val="Arial"/>
      <family val="2"/>
      <charset val="204"/>
    </font>
    <font>
      <b/>
      <sz val="12"/>
      <name val="Arial"/>
      <family val="2"/>
      <charset val="204"/>
    </font>
    <font>
      <b/>
      <sz val="16"/>
      <name val="Arial"/>
      <family val="2"/>
      <charset val="204"/>
    </font>
    <font>
      <sz val="11"/>
      <color theme="1"/>
      <name val="Calibri"/>
      <family val="2"/>
      <scheme val="minor"/>
    </font>
    <font>
      <b/>
      <sz val="12"/>
      <color theme="1"/>
      <name val="Arial"/>
      <family val="2"/>
      <charset val="204"/>
    </font>
    <font>
      <sz val="10"/>
      <name val="MS Sans Serif"/>
      <family val="2"/>
      <charset val="204"/>
    </font>
    <font>
      <sz val="13"/>
      <name val="Arial"/>
      <family val="2"/>
      <charset val="204"/>
    </font>
    <font>
      <b/>
      <sz val="18"/>
      <name val="Arial"/>
      <family val="2"/>
      <charset val="204"/>
    </font>
    <font>
      <b/>
      <sz val="13"/>
      <name val="Arial"/>
      <family val="2"/>
      <charset val="204"/>
    </font>
    <font>
      <b/>
      <sz val="9"/>
      <color indexed="81"/>
      <name val="Tahoma"/>
      <family val="2"/>
      <charset val="204"/>
    </font>
    <font>
      <sz val="9"/>
      <color indexed="81"/>
      <name val="Tahoma"/>
      <family val="2"/>
      <charset val="204"/>
    </font>
    <font>
      <sz val="13"/>
      <color indexed="81"/>
      <name val="Arial"/>
      <family val="2"/>
      <charset val="204"/>
    </font>
    <font>
      <b/>
      <sz val="13"/>
      <color theme="0"/>
      <name val="Arial"/>
      <family val="2"/>
      <charset val="204"/>
    </font>
    <font>
      <sz val="13"/>
      <color theme="1"/>
      <name val="Arial"/>
      <family val="2"/>
      <charset val="204"/>
    </font>
    <font>
      <b/>
      <sz val="13"/>
      <color rgb="FFC00000"/>
      <name val="Arial"/>
      <family val="2"/>
      <charset val="204"/>
    </font>
    <font>
      <sz val="13"/>
      <color rgb="FFFF0000"/>
      <name val="Arial"/>
      <family val="2"/>
      <charset val="204"/>
    </font>
    <font>
      <b/>
      <sz val="13"/>
      <color theme="1"/>
      <name val="Arial"/>
      <family val="2"/>
      <charset val="204"/>
    </font>
    <font>
      <b/>
      <sz val="14"/>
      <name val="Arial"/>
      <family val="2"/>
      <charset val="204"/>
    </font>
    <font>
      <b/>
      <sz val="13"/>
      <color rgb="FFFF0000"/>
      <name val="Arial"/>
      <family val="2"/>
      <charset val="204"/>
    </font>
    <font>
      <b/>
      <sz val="14"/>
      <color indexed="81"/>
      <name val="Tahoma"/>
      <family val="2"/>
      <charset val="204"/>
    </font>
    <font>
      <b/>
      <sz val="13"/>
      <color indexed="10"/>
      <name val="Arial"/>
      <family val="2"/>
      <charset val="204"/>
    </font>
    <font>
      <b/>
      <sz val="13"/>
      <color indexed="8"/>
      <name val="Arial"/>
      <family val="2"/>
      <charset val="204"/>
    </font>
    <font>
      <b/>
      <i/>
      <sz val="13"/>
      <name val="Arial"/>
      <family val="2"/>
      <charset val="204"/>
    </font>
    <font>
      <i/>
      <sz val="13"/>
      <name val="Arial"/>
      <family val="2"/>
      <charset val="204"/>
    </font>
    <font>
      <sz val="13"/>
      <color rgb="FF000000"/>
      <name val="Arial"/>
      <family val="2"/>
      <charset val="204"/>
    </font>
    <font>
      <sz val="14"/>
      <color rgb="FF000000"/>
      <name val="Courier New"/>
      <family val="3"/>
      <charset val="204"/>
    </font>
    <font>
      <sz val="11"/>
      <color theme="1"/>
      <name val="Courier New"/>
      <family val="3"/>
      <charset val="204"/>
    </font>
    <font>
      <sz val="11"/>
      <color rgb="FF006100"/>
      <name val="Calibri"/>
      <family val="2"/>
      <charset val="204"/>
      <scheme val="minor"/>
    </font>
    <font>
      <sz val="11"/>
      <color rgb="FF9C0006"/>
      <name val="Calibri"/>
      <family val="2"/>
      <charset val="204"/>
      <scheme val="minor"/>
    </font>
    <font>
      <sz val="11"/>
      <color rgb="FF9C6500"/>
      <name val="Calibri"/>
      <family val="2"/>
      <charset val="204"/>
      <scheme val="minor"/>
    </font>
    <font>
      <sz val="10"/>
      <color rgb="FF2C3E50"/>
      <name val="Arial"/>
      <family val="2"/>
      <charset val="204"/>
    </font>
    <font>
      <sz val="11"/>
      <name val="Arial"/>
      <family val="2"/>
      <charset val="204"/>
    </font>
    <font>
      <b/>
      <sz val="13"/>
      <color rgb="FF006100"/>
      <name val="Arial"/>
      <family val="2"/>
      <charset val="204"/>
    </font>
    <font>
      <b/>
      <sz val="13"/>
      <color rgb="FF9C0006"/>
      <name val="Arial"/>
      <family val="2"/>
      <charset val="204"/>
    </font>
    <font>
      <b/>
      <sz val="13"/>
      <color rgb="FF9C6500"/>
      <name val="Arial"/>
      <family val="2"/>
      <charset val="204"/>
    </font>
    <font>
      <sz val="12"/>
      <color rgb="FFFF0000"/>
      <name val="Arial"/>
      <family val="2"/>
      <charset val="204"/>
    </font>
    <font>
      <b/>
      <u/>
      <sz val="13"/>
      <name val="Arial"/>
      <family val="2"/>
      <charset val="204"/>
    </font>
    <font>
      <b/>
      <sz val="12"/>
      <color theme="1"/>
      <name val="Calibri"/>
      <family val="2"/>
      <charset val="204"/>
      <scheme val="minor"/>
    </font>
    <font>
      <sz val="10"/>
      <color theme="1"/>
      <name val="Calibri"/>
      <family val="2"/>
      <charset val="204"/>
      <scheme val="minor"/>
    </font>
    <font>
      <b/>
      <sz val="10"/>
      <color theme="1"/>
      <name val="Calibri"/>
      <family val="2"/>
      <charset val="204"/>
      <scheme val="minor"/>
    </font>
    <font>
      <sz val="10"/>
      <name val="Arial Cyr"/>
      <family val="2"/>
      <charset val="204"/>
    </font>
    <font>
      <sz val="10"/>
      <color rgb="FF000000"/>
      <name val="Arial"/>
      <family val="2"/>
      <charset val="204"/>
    </font>
    <font>
      <b/>
      <i/>
      <sz val="12"/>
      <color theme="1"/>
      <name val="Calibri"/>
      <family val="2"/>
      <charset val="204"/>
      <scheme val="minor"/>
    </font>
  </fonts>
  <fills count="23">
    <fill>
      <patternFill patternType="none"/>
    </fill>
    <fill>
      <patternFill patternType="gray125"/>
    </fill>
    <fill>
      <patternFill patternType="solid">
        <fgColor theme="8" tint="0.79998168889431442"/>
        <bgColor indexed="64"/>
      </patternFill>
    </fill>
    <fill>
      <patternFill patternType="solid">
        <fgColor rgb="FFCCECFF"/>
        <bgColor indexed="64"/>
      </patternFill>
    </fill>
    <fill>
      <patternFill patternType="solid">
        <fgColor rgb="FFCCECFF"/>
        <bgColor indexed="22"/>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
      <patternFill patternType="solid">
        <fgColor rgb="FFFFC000"/>
        <bgColor indexed="64"/>
      </patternFill>
    </fill>
    <fill>
      <patternFill patternType="solid">
        <fgColor theme="8" tint="0.59999389629810485"/>
        <bgColor indexed="64"/>
      </patternFill>
    </fill>
    <fill>
      <patternFill patternType="solid">
        <fgColor rgb="FF00B050"/>
        <bgColor indexed="64"/>
      </patternFill>
    </fill>
    <fill>
      <patternFill patternType="solid">
        <fgColor theme="3" tint="-0.249977111117893"/>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3" tint="-0.249977111117893"/>
        <bgColor indexed="22"/>
      </patternFill>
    </fill>
    <fill>
      <patternFill patternType="solid">
        <fgColor theme="6" tint="0.59999389629810485"/>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theme="7" tint="0.79998168889431442"/>
        <bgColor indexed="64"/>
      </patternFill>
    </fill>
    <fill>
      <patternFill patternType="solid">
        <fgColor theme="9" tint="0.39997558519241921"/>
        <bgColor indexed="64"/>
      </patternFill>
    </fill>
  </fills>
  <borders count="98">
    <border>
      <left/>
      <right/>
      <top/>
      <bottom/>
      <diagonal/>
    </border>
    <border>
      <left style="thin">
        <color indexed="64"/>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medium">
        <color indexed="64"/>
      </left>
      <right/>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right/>
      <top style="medium">
        <color indexed="64"/>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hair">
        <color indexed="64"/>
      </bottom>
      <diagonal/>
    </border>
    <border>
      <left style="hair">
        <color indexed="64"/>
      </left>
      <right/>
      <top style="medium">
        <color indexed="64"/>
      </top>
      <bottom style="hair">
        <color indexed="64"/>
      </bottom>
      <diagonal/>
    </border>
    <border>
      <left/>
      <right/>
      <top style="medium">
        <color indexed="64"/>
      </top>
      <bottom style="hair">
        <color indexed="64"/>
      </bottom>
      <diagonal/>
    </border>
    <border>
      <left/>
      <right style="hair">
        <color indexed="64"/>
      </right>
      <top style="medium">
        <color indexed="64"/>
      </top>
      <bottom style="hair">
        <color indexed="64"/>
      </bottom>
      <diagonal/>
    </border>
    <border>
      <left style="hair">
        <color indexed="64"/>
      </left>
      <right style="medium">
        <color indexed="64"/>
      </right>
      <top style="medium">
        <color indexed="64"/>
      </top>
      <bottom style="hair">
        <color indexed="64"/>
      </bottom>
      <diagonal/>
    </border>
    <border>
      <left style="medium">
        <color indexed="64"/>
      </left>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double">
        <color theme="0" tint="-0.14993743705557422"/>
      </right>
      <top style="medium">
        <color indexed="64"/>
      </top>
      <bottom style="medium">
        <color indexed="64"/>
      </bottom>
      <diagonal/>
    </border>
    <border>
      <left style="double">
        <color theme="0" tint="-0.14993743705557422"/>
      </left>
      <right/>
      <top style="medium">
        <color indexed="64"/>
      </top>
      <bottom/>
      <diagonal/>
    </border>
    <border>
      <left/>
      <right style="double">
        <color theme="0" tint="-0.14993743705557422"/>
      </right>
      <top style="medium">
        <color indexed="64"/>
      </top>
      <bottom style="double">
        <color theme="0" tint="-0.14993743705557422"/>
      </bottom>
      <diagonal/>
    </border>
    <border>
      <left style="double">
        <color theme="0" tint="-0.14993743705557422"/>
      </left>
      <right style="medium">
        <color indexed="64"/>
      </right>
      <top style="medium">
        <color indexed="64"/>
      </top>
      <bottom style="double">
        <color theme="0" tint="-0.14993743705557422"/>
      </bottom>
      <diagonal/>
    </border>
    <border>
      <left style="medium">
        <color indexed="64"/>
      </left>
      <right style="double">
        <color theme="0" tint="-0.14993743705557422"/>
      </right>
      <top style="double">
        <color theme="0" tint="-0.14993743705557422"/>
      </top>
      <bottom style="medium">
        <color indexed="64"/>
      </bottom>
      <diagonal/>
    </border>
    <border>
      <left style="medium">
        <color indexed="64"/>
      </left>
      <right/>
      <top style="double">
        <color theme="0" tint="-0.14993743705557422"/>
      </top>
      <bottom style="double">
        <color theme="0" tint="-0.14993743705557422"/>
      </bottom>
      <diagonal/>
    </border>
    <border>
      <left style="medium">
        <color indexed="64"/>
      </left>
      <right style="medium">
        <color indexed="64"/>
      </right>
      <top style="medium">
        <color indexed="64"/>
      </top>
      <bottom style="double">
        <color theme="0" tint="-0.14993743705557422"/>
      </bottom>
      <diagonal/>
    </border>
    <border>
      <left/>
      <right style="double">
        <color theme="0" tint="-0.14993743705557422"/>
      </right>
      <top style="double">
        <color theme="0" tint="-0.14993743705557422"/>
      </top>
      <bottom style="double">
        <color theme="0" tint="-0.14993743705557422"/>
      </bottom>
      <diagonal/>
    </border>
    <border>
      <left style="double">
        <color theme="0" tint="-0.14993743705557422"/>
      </left>
      <right style="medium">
        <color indexed="64"/>
      </right>
      <top style="double">
        <color theme="0" tint="-0.14993743705557422"/>
      </top>
      <bottom style="double">
        <color theme="0" tint="-0.14993743705557422"/>
      </bottom>
      <diagonal/>
    </border>
    <border>
      <left style="medium">
        <color indexed="64"/>
      </left>
      <right/>
      <top style="double">
        <color theme="0" tint="-0.14993743705557422"/>
      </top>
      <bottom style="medium">
        <color indexed="64"/>
      </bottom>
      <diagonal/>
    </border>
    <border>
      <left style="medium">
        <color indexed="64"/>
      </left>
      <right/>
      <top style="hair">
        <color indexed="64"/>
      </top>
      <bottom style="medium">
        <color indexed="64"/>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diagonal/>
    </border>
    <border>
      <left/>
      <right/>
      <top style="hair">
        <color indexed="64"/>
      </top>
      <bottom/>
      <diagonal/>
    </border>
    <border>
      <left style="hair">
        <color indexed="64"/>
      </left>
      <right style="hair">
        <color indexed="64"/>
      </right>
      <top style="medium">
        <color indexed="64"/>
      </top>
      <bottom style="hair">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s>
  <cellStyleXfs count="11">
    <xf numFmtId="0" fontId="0" fillId="0" borderId="0"/>
    <xf numFmtId="164" fontId="1" fillId="0" borderId="0" applyFont="0" applyFill="0" applyBorder="0" applyAlignment="0" applyProtection="0"/>
    <xf numFmtId="9" fontId="1" fillId="0" borderId="0" applyFont="0" applyFill="0" applyBorder="0" applyAlignment="0" applyProtection="0"/>
    <xf numFmtId="0" fontId="5" fillId="0" borderId="0"/>
    <xf numFmtId="0" fontId="10" fillId="0" borderId="0"/>
    <xf numFmtId="166" fontId="12" fillId="0" borderId="0" applyFont="0" applyFill="0" applyBorder="0" applyAlignment="0" applyProtection="0"/>
    <xf numFmtId="164" fontId="10" fillId="0" borderId="0" applyFont="0" applyFill="0" applyBorder="0" applyAlignment="0" applyProtection="0"/>
    <xf numFmtId="0" fontId="34" fillId="18" borderId="0" applyNumberFormat="0" applyBorder="0" applyAlignment="0" applyProtection="0"/>
    <xf numFmtId="0" fontId="35" fillId="19" borderId="0" applyNumberFormat="0" applyBorder="0" applyAlignment="0" applyProtection="0"/>
    <xf numFmtId="0" fontId="36" fillId="20" borderId="0" applyNumberFormat="0" applyBorder="0" applyAlignment="0" applyProtection="0"/>
    <xf numFmtId="43" fontId="1" fillId="0" borderId="0" applyFont="0" applyFill="0" applyBorder="0" applyAlignment="0" applyProtection="0"/>
  </cellStyleXfs>
  <cellXfs count="645">
    <xf numFmtId="0" fontId="0" fillId="0" borderId="0" xfId="0"/>
    <xf numFmtId="0" fontId="2" fillId="2" borderId="0" xfId="0" applyFont="1" applyFill="1" applyProtection="1"/>
    <xf numFmtId="0" fontId="3" fillId="2" borderId="0" xfId="0" applyFont="1" applyFill="1" applyProtection="1"/>
    <xf numFmtId="0" fontId="4" fillId="2" borderId="0" xfId="0" applyFont="1" applyFill="1" applyProtection="1"/>
    <xf numFmtId="0" fontId="2" fillId="2" borderId="0" xfId="0" applyFont="1" applyFill="1" applyProtection="1">
      <protection locked="0"/>
    </xf>
    <xf numFmtId="0" fontId="2" fillId="0" borderId="0" xfId="0" applyFont="1" applyProtection="1"/>
    <xf numFmtId="0" fontId="3" fillId="5" borderId="0" xfId="0" applyFont="1" applyFill="1" applyProtection="1"/>
    <xf numFmtId="0" fontId="4" fillId="5" borderId="0" xfId="0" applyFont="1" applyFill="1" applyProtection="1"/>
    <xf numFmtId="3" fontId="8" fillId="5" borderId="3" xfId="3" applyNumberFormat="1" applyFont="1" applyFill="1" applyBorder="1" applyAlignment="1" applyProtection="1">
      <alignment horizontal="center" vertical="center"/>
    </xf>
    <xf numFmtId="0" fontId="2" fillId="0" borderId="0" xfId="0" applyFont="1" applyProtection="1">
      <protection locked="0"/>
    </xf>
    <xf numFmtId="3" fontId="8" fillId="5" borderId="8" xfId="3" applyNumberFormat="1" applyFont="1" applyFill="1" applyBorder="1" applyAlignment="1" applyProtection="1">
      <alignment horizontal="center" vertical="center"/>
    </xf>
    <xf numFmtId="3" fontId="8" fillId="5" borderId="9" xfId="3" applyNumberFormat="1" applyFont="1" applyFill="1" applyBorder="1" applyAlignment="1" applyProtection="1">
      <alignment vertical="center"/>
    </xf>
    <xf numFmtId="3" fontId="8" fillId="5" borderId="9" xfId="3" applyNumberFormat="1" applyFont="1" applyFill="1" applyBorder="1" applyAlignment="1" applyProtection="1">
      <alignment horizontal="center" vertical="center"/>
    </xf>
    <xf numFmtId="3" fontId="8" fillId="5" borderId="10" xfId="3" applyNumberFormat="1" applyFont="1" applyFill="1" applyBorder="1" applyAlignment="1" applyProtection="1">
      <alignment horizontal="center" vertical="center"/>
    </xf>
    <xf numFmtId="0" fontId="3" fillId="5" borderId="0" xfId="3" applyFont="1" applyFill="1" applyBorder="1" applyProtection="1">
      <protection locked="0"/>
    </xf>
    <xf numFmtId="0" fontId="3" fillId="5" borderId="11" xfId="3" applyFont="1" applyFill="1" applyBorder="1" applyProtection="1">
      <protection locked="0"/>
    </xf>
    <xf numFmtId="165" fontId="3" fillId="5" borderId="0" xfId="1" applyNumberFormat="1" applyFont="1" applyFill="1" applyBorder="1" applyProtection="1">
      <protection locked="0"/>
    </xf>
    <xf numFmtId="3" fontId="8" fillId="5" borderId="12" xfId="3" applyNumberFormat="1" applyFont="1" applyFill="1" applyBorder="1" applyAlignment="1" applyProtection="1">
      <alignment horizontal="center" vertical="center"/>
    </xf>
    <xf numFmtId="3" fontId="8" fillId="5" borderId="13" xfId="3" applyNumberFormat="1" applyFont="1" applyFill="1" applyBorder="1" applyAlignment="1" applyProtection="1">
      <alignment horizontal="left" vertical="center"/>
    </xf>
    <xf numFmtId="0" fontId="3" fillId="5" borderId="15" xfId="3" applyFont="1" applyFill="1" applyBorder="1" applyProtection="1">
      <protection locked="0"/>
    </xf>
    <xf numFmtId="0" fontId="3" fillId="5" borderId="16" xfId="3" applyFont="1" applyFill="1" applyBorder="1" applyProtection="1">
      <protection locked="0"/>
    </xf>
    <xf numFmtId="0" fontId="3" fillId="5" borderId="0" xfId="3" applyFont="1" applyFill="1" applyBorder="1" applyAlignment="1" applyProtection="1">
      <alignment vertical="top"/>
      <protection locked="0"/>
    </xf>
    <xf numFmtId="0" fontId="2" fillId="0" borderId="18" xfId="0" applyFont="1" applyBorder="1" applyProtection="1">
      <protection locked="0"/>
    </xf>
    <xf numFmtId="0" fontId="11" fillId="2" borderId="3" xfId="4" applyFont="1" applyFill="1" applyBorder="1" applyAlignment="1">
      <alignment horizontal="center" vertical="center"/>
    </xf>
    <xf numFmtId="0" fontId="11" fillId="2" borderId="4" xfId="4" applyFont="1" applyFill="1" applyBorder="1" applyAlignment="1">
      <alignment horizontal="center" vertical="center" wrapText="1"/>
    </xf>
    <xf numFmtId="0" fontId="11" fillId="2" borderId="5" xfId="4" applyFont="1" applyFill="1" applyBorder="1" applyAlignment="1">
      <alignment horizontal="center" vertical="center" wrapText="1"/>
    </xf>
    <xf numFmtId="0" fontId="11" fillId="5" borderId="8" xfId="4" applyFont="1" applyFill="1" applyBorder="1" applyAlignment="1">
      <alignment horizontal="center" vertical="center" wrapText="1"/>
    </xf>
    <xf numFmtId="9" fontId="2" fillId="5" borderId="9" xfId="4" applyNumberFormat="1" applyFont="1" applyFill="1" applyBorder="1" applyAlignment="1">
      <alignment horizontal="center" vertical="center"/>
    </xf>
    <xf numFmtId="0" fontId="2" fillId="5" borderId="9" xfId="4" applyFont="1" applyFill="1" applyBorder="1" applyAlignment="1">
      <alignment horizontal="center" vertical="center" wrapText="1"/>
    </xf>
    <xf numFmtId="4" fontId="3" fillId="5" borderId="9" xfId="4" applyNumberFormat="1" applyFont="1" applyFill="1" applyBorder="1" applyAlignment="1">
      <alignment horizontal="center" vertical="center"/>
    </xf>
    <xf numFmtId="4" fontId="3" fillId="5" borderId="10" xfId="4" applyNumberFormat="1" applyFont="1" applyFill="1" applyBorder="1" applyAlignment="1">
      <alignment horizontal="center" vertical="center"/>
    </xf>
    <xf numFmtId="0" fontId="2" fillId="0" borderId="3" xfId="4" applyFont="1" applyBorder="1" applyAlignment="1">
      <alignment horizontal="center" vertical="center"/>
    </xf>
    <xf numFmtId="0" fontId="2" fillId="5" borderId="8" xfId="4" applyFont="1" applyFill="1" applyBorder="1" applyAlignment="1">
      <alignment horizontal="center" vertical="center"/>
    </xf>
    <xf numFmtId="0" fontId="2" fillId="0" borderId="8" xfId="4" applyFont="1" applyBorder="1" applyAlignment="1">
      <alignment horizontal="center" vertical="center"/>
    </xf>
    <xf numFmtId="0" fontId="11" fillId="5" borderId="12" xfId="4" applyFont="1" applyFill="1" applyBorder="1" applyAlignment="1">
      <alignment horizontal="center" vertical="center" wrapText="1"/>
    </xf>
    <xf numFmtId="9" fontId="2" fillId="5" borderId="13" xfId="4" applyNumberFormat="1" applyFont="1" applyFill="1" applyBorder="1" applyAlignment="1">
      <alignment horizontal="center" vertical="center"/>
    </xf>
    <xf numFmtId="0" fontId="2" fillId="5" borderId="13" xfId="4" applyFont="1" applyFill="1" applyBorder="1" applyAlignment="1">
      <alignment horizontal="center" vertical="center" wrapText="1"/>
    </xf>
    <xf numFmtId="4" fontId="3" fillId="5" borderId="13" xfId="4" applyNumberFormat="1" applyFont="1" applyFill="1" applyBorder="1" applyAlignment="1">
      <alignment horizontal="center" vertical="center"/>
    </xf>
    <xf numFmtId="4" fontId="3" fillId="5" borderId="14" xfId="4" applyNumberFormat="1" applyFont="1" applyFill="1" applyBorder="1" applyAlignment="1">
      <alignment horizontal="center" vertical="center"/>
    </xf>
    <xf numFmtId="0" fontId="3" fillId="0" borderId="0" xfId="3" applyFont="1" applyBorder="1" applyProtection="1">
      <protection locked="0"/>
    </xf>
    <xf numFmtId="4" fontId="8" fillId="2" borderId="25" xfId="4" applyNumberFormat="1" applyFont="1" applyFill="1" applyBorder="1" applyAlignment="1">
      <alignment horizontal="center" vertical="center"/>
    </xf>
    <xf numFmtId="0" fontId="3" fillId="0" borderId="18" xfId="3" applyFont="1" applyBorder="1" applyProtection="1">
      <protection locked="0"/>
    </xf>
    <xf numFmtId="0" fontId="11" fillId="5" borderId="3" xfId="4" applyFont="1" applyFill="1" applyBorder="1" applyAlignment="1">
      <alignment horizontal="center" vertical="center" wrapText="1"/>
    </xf>
    <xf numFmtId="0" fontId="2" fillId="5" borderId="4" xfId="4" applyFont="1" applyFill="1" applyBorder="1" applyAlignment="1">
      <alignment horizontal="center" vertical="center" wrapText="1"/>
    </xf>
    <xf numFmtId="2" fontId="2" fillId="5" borderId="5" xfId="4" applyNumberFormat="1" applyFont="1" applyFill="1" applyBorder="1" applyAlignment="1">
      <alignment horizontal="center" vertical="center"/>
    </xf>
    <xf numFmtId="0" fontId="11" fillId="0" borderId="30" xfId="4" applyFont="1" applyBorder="1" applyAlignment="1">
      <alignment horizontal="center" vertical="center"/>
    </xf>
    <xf numFmtId="2" fontId="2" fillId="5" borderId="10" xfId="4" applyNumberFormat="1" applyFont="1" applyFill="1" applyBorder="1" applyAlignment="1">
      <alignment horizontal="center" vertical="center"/>
    </xf>
    <xf numFmtId="2" fontId="2" fillId="5" borderId="14" xfId="4" applyNumberFormat="1" applyFont="1" applyFill="1" applyBorder="1" applyAlignment="1">
      <alignment horizontal="center" vertical="center"/>
    </xf>
    <xf numFmtId="2" fontId="11" fillId="2" borderId="25" xfId="4" applyNumberFormat="1" applyFont="1" applyFill="1" applyBorder="1" applyAlignment="1">
      <alignment horizontal="center" vertical="center"/>
    </xf>
    <xf numFmtId="0" fontId="8" fillId="2" borderId="36" xfId="0" applyFont="1" applyFill="1" applyBorder="1" applyAlignment="1" applyProtection="1">
      <alignment horizontal="center" vertical="center" wrapText="1"/>
    </xf>
    <xf numFmtId="0" fontId="8" fillId="2" borderId="37" xfId="0" applyFont="1" applyFill="1" applyBorder="1" applyAlignment="1" applyProtection="1">
      <alignment horizontal="center" vertical="center" wrapText="1"/>
    </xf>
    <xf numFmtId="0" fontId="8" fillId="2" borderId="38" xfId="0" applyFont="1" applyFill="1" applyBorder="1" applyAlignment="1" applyProtection="1">
      <alignment horizontal="center" vertical="center" wrapText="1"/>
    </xf>
    <xf numFmtId="0" fontId="3" fillId="5" borderId="8" xfId="3" applyFont="1" applyFill="1" applyBorder="1" applyProtection="1">
      <protection locked="0"/>
    </xf>
    <xf numFmtId="167" fontId="3" fillId="5" borderId="9" xfId="5" applyNumberFormat="1" applyFont="1" applyFill="1" applyBorder="1" applyAlignment="1" applyProtection="1">
      <alignment horizontal="center" vertical="center"/>
    </xf>
    <xf numFmtId="9" fontId="3" fillId="5" borderId="9" xfId="2" applyFont="1" applyFill="1" applyBorder="1" applyAlignment="1" applyProtection="1">
      <alignment horizontal="center" vertical="center"/>
    </xf>
    <xf numFmtId="167" fontId="3" fillId="5" borderId="10" xfId="5" applyNumberFormat="1" applyFont="1" applyFill="1" applyBorder="1" applyAlignment="1" applyProtection="1">
      <alignment horizontal="center" vertical="center"/>
    </xf>
    <xf numFmtId="14" fontId="3" fillId="5" borderId="8" xfId="0" applyNumberFormat="1" applyFont="1" applyFill="1" applyBorder="1" applyAlignment="1" applyProtection="1">
      <alignment horizontal="center" vertical="center"/>
    </xf>
    <xf numFmtId="0" fontId="2" fillId="0" borderId="36" xfId="0" applyFont="1" applyBorder="1" applyProtection="1">
      <protection locked="0"/>
    </xf>
    <xf numFmtId="0" fontId="11" fillId="2" borderId="37" xfId="0" applyFont="1" applyFill="1" applyBorder="1" applyAlignment="1" applyProtection="1">
      <alignment horizontal="center" vertical="center" wrapText="1"/>
    </xf>
    <xf numFmtId="3" fontId="8" fillId="2" borderId="37" xfId="3" applyNumberFormat="1" applyFont="1" applyFill="1" applyBorder="1" applyAlignment="1" applyProtection="1">
      <alignment horizontal="center" vertical="center" wrapText="1"/>
    </xf>
    <xf numFmtId="3" fontId="8" fillId="0" borderId="8" xfId="3" applyNumberFormat="1" applyFont="1" applyFill="1" applyBorder="1" applyAlignment="1" applyProtection="1">
      <alignment horizontal="center" vertical="center" wrapText="1"/>
    </xf>
    <xf numFmtId="0" fontId="3" fillId="5" borderId="9" xfId="0" applyFont="1" applyFill="1" applyBorder="1" applyAlignment="1">
      <alignment vertical="center" wrapText="1"/>
    </xf>
    <xf numFmtId="3" fontId="3" fillId="5" borderId="9" xfId="3" applyNumberFormat="1" applyFont="1" applyFill="1" applyBorder="1" applyAlignment="1" applyProtection="1">
      <alignment horizontal="center" vertical="center" wrapText="1"/>
      <protection locked="0"/>
    </xf>
    <xf numFmtId="3" fontId="8" fillId="0" borderId="12" xfId="3" applyNumberFormat="1" applyFont="1" applyFill="1" applyBorder="1" applyAlignment="1" applyProtection="1">
      <alignment horizontal="center" vertical="center" wrapText="1"/>
    </xf>
    <xf numFmtId="3" fontId="8" fillId="0" borderId="13" xfId="3" applyNumberFormat="1" applyFont="1" applyFill="1" applyBorder="1" applyAlignment="1" applyProtection="1">
      <alignment horizontal="left" vertical="center" wrapText="1"/>
    </xf>
    <xf numFmtId="3" fontId="8" fillId="0" borderId="13" xfId="3" applyNumberFormat="1" applyFont="1" applyFill="1" applyBorder="1" applyAlignment="1" applyProtection="1">
      <alignment horizontal="center" vertical="center" wrapText="1"/>
    </xf>
    <xf numFmtId="9" fontId="8" fillId="0" borderId="13" xfId="2" applyFont="1" applyFill="1" applyBorder="1" applyAlignment="1" applyProtection="1">
      <alignment horizontal="center" vertical="center" wrapText="1"/>
    </xf>
    <xf numFmtId="3" fontId="8" fillId="0" borderId="0" xfId="3" applyNumberFormat="1" applyFont="1" applyFill="1" applyBorder="1" applyAlignment="1" applyProtection="1">
      <alignment horizontal="center" vertical="center" wrapText="1"/>
    </xf>
    <xf numFmtId="0" fontId="3" fillId="0" borderId="0" xfId="3" applyFont="1" applyProtection="1">
      <protection locked="0"/>
    </xf>
    <xf numFmtId="3" fontId="8" fillId="5" borderId="0" xfId="3" applyNumberFormat="1" applyFont="1" applyFill="1" applyBorder="1" applyAlignment="1" applyProtection="1">
      <alignment horizontal="center" vertical="center"/>
    </xf>
    <xf numFmtId="0" fontId="11" fillId="3" borderId="8" xfId="0" applyFont="1" applyFill="1" applyBorder="1" applyAlignment="1">
      <alignment horizontal="center" vertical="center" wrapText="1"/>
    </xf>
    <xf numFmtId="0" fontId="11" fillId="3" borderId="9" xfId="0" applyFont="1" applyFill="1" applyBorder="1" applyAlignment="1">
      <alignment horizontal="center" vertical="center" wrapText="1"/>
    </xf>
    <xf numFmtId="0" fontId="11" fillId="3" borderId="10" xfId="0" applyFont="1" applyFill="1" applyBorder="1" applyAlignment="1">
      <alignment horizontal="center" vertical="center" wrapText="1"/>
    </xf>
    <xf numFmtId="3" fontId="11" fillId="5" borderId="12" xfId="0" applyNumberFormat="1" applyFont="1" applyFill="1" applyBorder="1" applyAlignment="1">
      <alignment horizontal="center" vertical="center" wrapText="1"/>
    </xf>
    <xf numFmtId="3" fontId="11" fillId="5" borderId="13" xfId="0" applyNumberFormat="1" applyFont="1" applyFill="1" applyBorder="1" applyAlignment="1">
      <alignment horizontal="center" vertical="center" wrapText="1"/>
    </xf>
    <xf numFmtId="9" fontId="11" fillId="5" borderId="14" xfId="2" applyNumberFormat="1" applyFont="1" applyFill="1" applyBorder="1" applyAlignment="1">
      <alignment horizontal="center" vertical="center" wrapText="1"/>
    </xf>
    <xf numFmtId="0" fontId="8" fillId="2" borderId="3" xfId="3" applyFont="1" applyFill="1" applyBorder="1" applyAlignment="1" applyProtection="1">
      <alignment horizontal="center" vertical="center"/>
      <protection locked="0"/>
    </xf>
    <xf numFmtId="0" fontId="8" fillId="2" borderId="5" xfId="3" applyFont="1" applyFill="1" applyBorder="1" applyAlignment="1" applyProtection="1">
      <alignment horizontal="center" vertical="center" wrapText="1"/>
      <protection locked="0"/>
    </xf>
    <xf numFmtId="0" fontId="2" fillId="0" borderId="0" xfId="0" applyFont="1" applyAlignment="1" applyProtection="1">
      <alignment vertical="center"/>
    </xf>
    <xf numFmtId="0" fontId="3" fillId="5" borderId="0" xfId="0" applyFont="1" applyFill="1" applyAlignment="1" applyProtection="1">
      <alignment vertical="center"/>
    </xf>
    <xf numFmtId="0" fontId="4" fillId="5" borderId="0" xfId="0" applyFont="1" applyFill="1" applyAlignment="1" applyProtection="1">
      <alignment vertical="center"/>
    </xf>
    <xf numFmtId="0" fontId="8" fillId="5" borderId="8" xfId="3" applyFont="1" applyFill="1" applyBorder="1" applyAlignment="1" applyProtection="1">
      <alignment horizontal="left" vertical="center"/>
      <protection locked="0"/>
    </xf>
    <xf numFmtId="3" fontId="3" fillId="5" borderId="10" xfId="3" applyNumberFormat="1" applyFont="1" applyFill="1" applyBorder="1" applyAlignment="1" applyProtection="1">
      <alignment horizontal="center" vertical="center"/>
      <protection locked="0"/>
    </xf>
    <xf numFmtId="0" fontId="2" fillId="0" borderId="0" xfId="0" applyFont="1" applyAlignment="1" applyProtection="1">
      <alignment vertical="center"/>
      <protection locked="0"/>
    </xf>
    <xf numFmtId="0" fontId="8" fillId="5" borderId="8" xfId="3" applyFont="1" applyFill="1" applyBorder="1" applyAlignment="1" applyProtection="1">
      <alignment horizontal="left" vertical="center" wrapText="1"/>
      <protection locked="0"/>
    </xf>
    <xf numFmtId="0" fontId="3" fillId="5" borderId="10" xfId="3" applyFont="1" applyFill="1" applyBorder="1" applyAlignment="1" applyProtection="1">
      <alignment horizontal="center" vertical="center"/>
      <protection locked="0"/>
    </xf>
    <xf numFmtId="0" fontId="8" fillId="5" borderId="41" xfId="3" applyFont="1" applyFill="1" applyBorder="1" applyAlignment="1" applyProtection="1">
      <alignment horizontal="left" vertical="center"/>
      <protection locked="0"/>
    </xf>
    <xf numFmtId="0" fontId="13" fillId="0" borderId="0" xfId="4" applyFont="1" applyBorder="1" applyAlignment="1">
      <alignment horizontal="center" vertical="center" wrapText="1"/>
    </xf>
    <xf numFmtId="0" fontId="13" fillId="0" borderId="0" xfId="0" applyFont="1"/>
    <xf numFmtId="0" fontId="13" fillId="0" borderId="0" xfId="4" applyFont="1" applyAlignment="1">
      <alignment horizontal="center" vertical="center"/>
    </xf>
    <xf numFmtId="2" fontId="13" fillId="0" borderId="0" xfId="4" applyNumberFormat="1" applyFont="1" applyBorder="1" applyAlignment="1">
      <alignment horizontal="center" vertical="center"/>
    </xf>
    <xf numFmtId="0" fontId="15" fillId="9" borderId="3" xfId="4" applyFont="1" applyFill="1" applyBorder="1" applyAlignment="1">
      <alignment horizontal="center" vertical="center"/>
    </xf>
    <xf numFmtId="0" fontId="15" fillId="9" borderId="4" xfId="4" applyFont="1" applyFill="1" applyBorder="1" applyAlignment="1">
      <alignment horizontal="center" vertical="center" wrapText="1"/>
    </xf>
    <xf numFmtId="0" fontId="15" fillId="9" borderId="5" xfId="4" applyFont="1" applyFill="1" applyBorder="1" applyAlignment="1">
      <alignment horizontal="center" vertical="center" wrapText="1"/>
    </xf>
    <xf numFmtId="0" fontId="13" fillId="0" borderId="0" xfId="4" applyFont="1"/>
    <xf numFmtId="168" fontId="13" fillId="0" borderId="0" xfId="4" applyNumberFormat="1" applyFont="1" applyAlignment="1">
      <alignment horizontal="center" vertical="center"/>
    </xf>
    <xf numFmtId="0" fontId="15" fillId="9" borderId="48" xfId="4" applyFont="1" applyFill="1" applyBorder="1" applyAlignment="1">
      <alignment horizontal="left" vertical="center"/>
    </xf>
    <xf numFmtId="0" fontId="15" fillId="9" borderId="49" xfId="4" applyFont="1" applyFill="1" applyBorder="1" applyAlignment="1">
      <alignment horizontal="center" vertical="center" wrapText="1"/>
    </xf>
    <xf numFmtId="0" fontId="15" fillId="9" borderId="25" xfId="4" applyFont="1" applyFill="1" applyBorder="1" applyAlignment="1">
      <alignment horizontal="center" vertical="center" wrapText="1"/>
    </xf>
    <xf numFmtId="0" fontId="15" fillId="9" borderId="8" xfId="4" applyFont="1" applyFill="1" applyBorder="1" applyAlignment="1">
      <alignment horizontal="left" vertical="center" wrapText="1"/>
    </xf>
    <xf numFmtId="0" fontId="13" fillId="2" borderId="9" xfId="4" applyFont="1" applyFill="1" applyBorder="1" applyAlignment="1">
      <alignment horizontal="left" vertical="center" wrapText="1"/>
    </xf>
    <xf numFmtId="9" fontId="13" fillId="2" borderId="9" xfId="4" applyNumberFormat="1" applyFont="1" applyFill="1" applyBorder="1" applyAlignment="1">
      <alignment horizontal="center" vertical="center"/>
    </xf>
    <xf numFmtId="164" fontId="13" fillId="2" borderId="9" xfId="4" applyNumberFormat="1" applyFont="1" applyFill="1" applyBorder="1" applyAlignment="1">
      <alignment vertical="center"/>
    </xf>
    <xf numFmtId="4" fontId="13" fillId="2" borderId="10" xfId="4" applyNumberFormat="1" applyFont="1" applyFill="1" applyBorder="1" applyAlignment="1">
      <alignment horizontal="center" vertical="center"/>
    </xf>
    <xf numFmtId="0" fontId="15" fillId="0" borderId="25" xfId="4" applyFont="1" applyBorder="1" applyAlignment="1">
      <alignment horizontal="center" vertical="center"/>
    </xf>
    <xf numFmtId="0" fontId="15" fillId="0" borderId="50" xfId="4" applyFont="1" applyBorder="1" applyAlignment="1">
      <alignment horizontal="center" vertical="center"/>
    </xf>
    <xf numFmtId="0" fontId="15" fillId="0" borderId="51" xfId="4" applyFont="1" applyBorder="1" applyAlignment="1">
      <alignment horizontal="center" vertical="center"/>
    </xf>
    <xf numFmtId="0" fontId="15" fillId="9" borderId="36" xfId="4" applyFont="1" applyFill="1" applyBorder="1" applyAlignment="1">
      <alignment horizontal="left" vertical="center" wrapText="1"/>
    </xf>
    <xf numFmtId="0" fontId="13" fillId="2" borderId="52" xfId="4" applyFont="1" applyFill="1" applyBorder="1" applyAlignment="1">
      <alignment horizontal="center" vertical="center"/>
    </xf>
    <xf numFmtId="3" fontId="13" fillId="7" borderId="53" xfId="4" applyNumberFormat="1" applyFont="1" applyFill="1" applyBorder="1" applyAlignment="1">
      <alignment horizontal="center" vertical="center"/>
    </xf>
    <xf numFmtId="4" fontId="13" fillId="0" borderId="0" xfId="4" applyNumberFormat="1" applyFont="1" applyFill="1" applyBorder="1" applyAlignment="1">
      <alignment horizontal="center" vertical="center"/>
    </xf>
    <xf numFmtId="0" fontId="13" fillId="2" borderId="22" xfId="4" applyFont="1" applyFill="1" applyBorder="1" applyAlignment="1">
      <alignment horizontal="center" vertical="center" wrapText="1"/>
    </xf>
    <xf numFmtId="3" fontId="13" fillId="7" borderId="55" xfId="4" applyNumberFormat="1" applyFont="1" applyFill="1" applyBorder="1" applyAlignment="1">
      <alignment horizontal="center" vertical="center"/>
    </xf>
    <xf numFmtId="0" fontId="13" fillId="0" borderId="0" xfId="4" applyFont="1" applyBorder="1"/>
    <xf numFmtId="0" fontId="13" fillId="0" borderId="0" xfId="4" applyFont="1" applyBorder="1" applyAlignment="1">
      <alignment horizontal="center" vertical="center"/>
    </xf>
    <xf numFmtId="0" fontId="13" fillId="2" borderId="22" xfId="4" applyFont="1" applyFill="1" applyBorder="1" applyAlignment="1">
      <alignment horizontal="center" vertical="center"/>
    </xf>
    <xf numFmtId="0" fontId="15" fillId="9" borderId="12" xfId="4" applyFont="1" applyFill="1" applyBorder="1" applyAlignment="1">
      <alignment horizontal="left" vertical="center" wrapText="1"/>
    </xf>
    <xf numFmtId="0" fontId="13" fillId="2" borderId="13" xfId="4" applyFont="1" applyFill="1" applyBorder="1" applyAlignment="1">
      <alignment horizontal="left" vertical="center" wrapText="1"/>
    </xf>
    <xf numFmtId="9" fontId="13" fillId="2" borderId="13" xfId="4" applyNumberFormat="1" applyFont="1" applyFill="1" applyBorder="1" applyAlignment="1">
      <alignment horizontal="center" vertical="center"/>
    </xf>
    <xf numFmtId="164" fontId="13" fillId="2" borderId="13" xfId="4" applyNumberFormat="1" applyFont="1" applyFill="1" applyBorder="1" applyAlignment="1">
      <alignment vertical="center"/>
    </xf>
    <xf numFmtId="4" fontId="13" fillId="2" borderId="14" xfId="4" applyNumberFormat="1" applyFont="1" applyFill="1" applyBorder="1" applyAlignment="1">
      <alignment horizontal="center" vertical="center"/>
    </xf>
    <xf numFmtId="4" fontId="13" fillId="0" borderId="1" xfId="4" applyNumberFormat="1" applyFont="1" applyFill="1" applyBorder="1" applyAlignment="1">
      <alignment horizontal="center" vertical="center"/>
    </xf>
    <xf numFmtId="4" fontId="13" fillId="0" borderId="2" xfId="4" applyNumberFormat="1" applyFont="1" applyFill="1" applyBorder="1" applyAlignment="1">
      <alignment horizontal="center" vertical="center"/>
    </xf>
    <xf numFmtId="4" fontId="13" fillId="6" borderId="25" xfId="4" applyNumberFormat="1" applyFont="1" applyFill="1" applyBorder="1" applyAlignment="1">
      <alignment horizontal="center" vertical="center"/>
    </xf>
    <xf numFmtId="4" fontId="13" fillId="0" borderId="0" xfId="4" applyNumberFormat="1" applyFont="1" applyFill="1" applyBorder="1" applyAlignment="1" applyProtection="1">
      <alignment horizontal="center" vertical="center"/>
    </xf>
    <xf numFmtId="164" fontId="13" fillId="0" borderId="0" xfId="4" applyNumberFormat="1" applyFont="1"/>
    <xf numFmtId="0" fontId="15" fillId="9" borderId="8" xfId="4" applyFont="1" applyFill="1" applyBorder="1" applyAlignment="1">
      <alignment horizontal="left" vertical="center"/>
    </xf>
    <xf numFmtId="0" fontId="15" fillId="9" borderId="36" xfId="4" applyFont="1" applyFill="1" applyBorder="1" applyAlignment="1">
      <alignment horizontal="center" vertical="center" wrapText="1"/>
    </xf>
    <xf numFmtId="0" fontId="13" fillId="2" borderId="37" xfId="4" applyFont="1" applyFill="1" applyBorder="1" applyAlignment="1">
      <alignment horizontal="center" vertical="center" wrapText="1"/>
    </xf>
    <xf numFmtId="2" fontId="13" fillId="2" borderId="38" xfId="4" applyNumberFormat="1" applyFont="1" applyFill="1" applyBorder="1" applyAlignment="1">
      <alignment horizontal="center" vertical="center"/>
    </xf>
    <xf numFmtId="4" fontId="13" fillId="5" borderId="0" xfId="4" applyNumberFormat="1" applyFont="1" applyFill="1" applyBorder="1" applyAlignment="1">
      <alignment horizontal="center" vertical="center"/>
    </xf>
    <xf numFmtId="0" fontId="15" fillId="9" borderId="8" xfId="4" applyFont="1" applyFill="1" applyBorder="1" applyAlignment="1">
      <alignment horizontal="center" vertical="center" wrapText="1"/>
    </xf>
    <xf numFmtId="0" fontId="13" fillId="2" borderId="9" xfId="4" applyFont="1" applyFill="1" applyBorder="1" applyAlignment="1">
      <alignment horizontal="center" vertical="center" wrapText="1"/>
    </xf>
    <xf numFmtId="2" fontId="13" fillId="2" borderId="10" xfId="4" applyNumberFormat="1" applyFont="1" applyFill="1" applyBorder="1" applyAlignment="1">
      <alignment horizontal="center" vertical="center"/>
    </xf>
    <xf numFmtId="0" fontId="13" fillId="0" borderId="0" xfId="4" applyFont="1" applyAlignment="1">
      <alignment horizontal="center"/>
    </xf>
    <xf numFmtId="0" fontId="15" fillId="9" borderId="8" xfId="4" applyNumberFormat="1" applyFont="1" applyFill="1" applyBorder="1" applyAlignment="1" applyProtection="1">
      <alignment horizontal="left" vertical="center" wrapText="1"/>
    </xf>
    <xf numFmtId="0" fontId="15" fillId="9" borderId="12" xfId="4" applyNumberFormat="1" applyFont="1" applyFill="1" applyBorder="1" applyAlignment="1" applyProtection="1">
      <alignment horizontal="left" vertical="center" wrapText="1"/>
    </xf>
    <xf numFmtId="0" fontId="13" fillId="2" borderId="26" xfId="4" applyFont="1" applyFill="1" applyBorder="1" applyAlignment="1">
      <alignment horizontal="center" vertical="center"/>
    </xf>
    <xf numFmtId="3" fontId="13" fillId="7" borderId="56" xfId="4" applyNumberFormat="1" applyFont="1" applyFill="1" applyBorder="1" applyAlignment="1">
      <alignment horizontal="center" vertical="center"/>
    </xf>
    <xf numFmtId="0" fontId="15" fillId="9" borderId="12" xfId="4" applyFont="1" applyFill="1" applyBorder="1" applyAlignment="1">
      <alignment horizontal="center" vertical="center" wrapText="1"/>
    </xf>
    <xf numFmtId="0" fontId="13" fillId="2" borderId="13" xfId="4" applyFont="1" applyFill="1" applyBorder="1" applyAlignment="1">
      <alignment horizontal="center" vertical="center" wrapText="1"/>
    </xf>
    <xf numFmtId="2" fontId="13" fillId="2" borderId="14" xfId="4" applyNumberFormat="1" applyFont="1" applyFill="1" applyBorder="1" applyAlignment="1">
      <alignment horizontal="center" vertical="center"/>
    </xf>
    <xf numFmtId="9" fontId="13" fillId="0" borderId="0" xfId="2" applyFont="1"/>
    <xf numFmtId="10" fontId="13" fillId="0" borderId="0" xfId="2" applyNumberFormat="1" applyFont="1"/>
    <xf numFmtId="164" fontId="15" fillId="10" borderId="9" xfId="6" applyFont="1" applyFill="1" applyBorder="1" applyAlignment="1">
      <alignment horizontal="left" vertical="center"/>
    </xf>
    <xf numFmtId="165" fontId="15" fillId="10" borderId="9" xfId="6" applyNumberFormat="1" applyFont="1" applyFill="1" applyBorder="1" applyAlignment="1">
      <alignment horizontal="left" vertical="center"/>
    </xf>
    <xf numFmtId="2" fontId="13" fillId="6" borderId="25" xfId="4" applyNumberFormat="1" applyFont="1" applyFill="1" applyBorder="1" applyAlignment="1">
      <alignment horizontal="center" vertical="center"/>
    </xf>
    <xf numFmtId="164" fontId="13" fillId="0" borderId="0" xfId="6" applyFont="1"/>
    <xf numFmtId="164" fontId="13" fillId="0" borderId="0" xfId="1" applyFont="1"/>
    <xf numFmtId="164" fontId="15" fillId="0" borderId="0" xfId="1" applyFont="1"/>
    <xf numFmtId="0" fontId="20" fillId="5" borderId="0" xfId="0" applyFont="1" applyFill="1" applyProtection="1"/>
    <xf numFmtId="0" fontId="20" fillId="5" borderId="0" xfId="0" applyFont="1" applyFill="1" applyProtection="1">
      <protection locked="0"/>
    </xf>
    <xf numFmtId="0" fontId="20" fillId="0" borderId="0" xfId="0" applyFont="1" applyProtection="1">
      <protection locked="0"/>
    </xf>
    <xf numFmtId="3" fontId="15" fillId="12" borderId="57" xfId="3" applyNumberFormat="1" applyFont="1" applyFill="1" applyBorder="1" applyAlignment="1" applyProtection="1">
      <alignment horizontal="center" vertical="center"/>
    </xf>
    <xf numFmtId="3" fontId="15" fillId="5" borderId="61" xfId="3" applyNumberFormat="1" applyFont="1" applyFill="1" applyBorder="1" applyAlignment="1" applyProtection="1">
      <alignment horizontal="center" vertical="center"/>
    </xf>
    <xf numFmtId="3" fontId="15" fillId="5" borderId="0" xfId="3" applyNumberFormat="1" applyFont="1" applyFill="1" applyBorder="1" applyAlignment="1" applyProtection="1">
      <alignment horizontal="center" vertical="center"/>
    </xf>
    <xf numFmtId="3" fontId="15" fillId="12" borderId="62" xfId="3" applyNumberFormat="1" applyFont="1" applyFill="1" applyBorder="1" applyAlignment="1" applyProtection="1">
      <alignment horizontal="center" vertical="center"/>
    </xf>
    <xf numFmtId="3" fontId="13" fillId="5" borderId="66" xfId="3" applyNumberFormat="1" applyFont="1" applyFill="1" applyBorder="1" applyAlignment="1" applyProtection="1">
      <alignment horizontal="center" vertical="center"/>
    </xf>
    <xf numFmtId="3" fontId="13" fillId="5" borderId="0" xfId="3" applyNumberFormat="1" applyFont="1" applyFill="1" applyBorder="1" applyAlignment="1" applyProtection="1">
      <alignment horizontal="center" vertical="center"/>
    </xf>
    <xf numFmtId="0" fontId="15" fillId="2" borderId="25" xfId="0" applyFont="1" applyFill="1" applyBorder="1" applyAlignment="1" applyProtection="1">
      <alignment horizontal="center" vertical="center" wrapText="1"/>
    </xf>
    <xf numFmtId="0" fontId="15" fillId="2" borderId="17" xfId="0" applyFont="1" applyFill="1" applyBorder="1" applyAlignment="1" applyProtection="1">
      <alignment horizontal="center" vertical="center" wrapText="1"/>
    </xf>
    <xf numFmtId="1" fontId="13" fillId="12" borderId="67" xfId="0" applyNumberFormat="1" applyFont="1" applyFill="1" applyBorder="1" applyAlignment="1" applyProtection="1">
      <alignment horizontal="center" vertical="center"/>
    </xf>
    <xf numFmtId="14" fontId="13" fillId="12" borderId="67" xfId="0" applyNumberFormat="1" applyFont="1" applyFill="1" applyBorder="1" applyAlignment="1" applyProtection="1">
      <alignment horizontal="center" vertical="center"/>
    </xf>
    <xf numFmtId="167" fontId="13" fillId="13" borderId="68" xfId="5" applyNumberFormat="1" applyFont="1" applyFill="1" applyBorder="1" applyAlignment="1" applyProtection="1">
      <alignment horizontal="center" vertical="center"/>
    </xf>
    <xf numFmtId="167" fontId="13" fillId="12" borderId="69" xfId="5" applyNumberFormat="1" applyFont="1" applyFill="1" applyBorder="1" applyAlignment="1" applyProtection="1">
      <alignment horizontal="center" vertical="center"/>
    </xf>
    <xf numFmtId="9" fontId="13" fillId="12" borderId="70" xfId="2" applyFont="1" applyFill="1" applyBorder="1" applyAlignment="1">
      <alignment horizontal="center" vertical="center"/>
    </xf>
    <xf numFmtId="1" fontId="15" fillId="12" borderId="71" xfId="0" applyNumberFormat="1" applyFont="1" applyFill="1" applyBorder="1" applyAlignment="1" applyProtection="1">
      <alignment horizontal="center" vertical="center"/>
    </xf>
    <xf numFmtId="14" fontId="13" fillId="12" borderId="72" xfId="0" applyNumberFormat="1" applyFont="1" applyFill="1" applyBorder="1" applyAlignment="1" applyProtection="1">
      <alignment horizontal="center" vertical="center"/>
    </xf>
    <xf numFmtId="167" fontId="13" fillId="7" borderId="73" xfId="5" applyNumberFormat="1" applyFont="1" applyFill="1" applyBorder="1" applyAlignment="1" applyProtection="1">
      <alignment horizontal="center" vertical="center"/>
    </xf>
    <xf numFmtId="169" fontId="13" fillId="12" borderId="69" xfId="2" applyNumberFormat="1" applyFont="1" applyFill="1" applyBorder="1" applyAlignment="1" applyProtection="1">
      <alignment horizontal="center" vertical="center"/>
    </xf>
    <xf numFmtId="167" fontId="13" fillId="12" borderId="74" xfId="5" applyNumberFormat="1" applyFont="1" applyFill="1" applyBorder="1" applyAlignment="1" applyProtection="1">
      <alignment horizontal="center" vertical="center"/>
    </xf>
    <xf numFmtId="169" fontId="13" fillId="12" borderId="75" xfId="2" applyNumberFormat="1" applyFont="1" applyFill="1" applyBorder="1" applyAlignment="1" applyProtection="1">
      <alignment horizontal="center" vertical="center"/>
    </xf>
    <xf numFmtId="3" fontId="15" fillId="12" borderId="63" xfId="3" applyNumberFormat="1" applyFont="1" applyFill="1" applyBorder="1" applyAlignment="1" applyProtection="1">
      <alignment horizontal="left" vertical="center"/>
    </xf>
    <xf numFmtId="3" fontId="15" fillId="12" borderId="64" xfId="3" applyNumberFormat="1" applyFont="1" applyFill="1" applyBorder="1" applyAlignment="1" applyProtection="1">
      <alignment horizontal="left" vertical="center"/>
    </xf>
    <xf numFmtId="3" fontId="15" fillId="12" borderId="65" xfId="3" applyNumberFormat="1" applyFont="1" applyFill="1" applyBorder="1" applyAlignment="1" applyProtection="1">
      <alignment horizontal="left" vertical="center"/>
    </xf>
    <xf numFmtId="9" fontId="13" fillId="5" borderId="66" xfId="2" applyFont="1" applyFill="1" applyBorder="1" applyAlignment="1" applyProtection="1">
      <alignment horizontal="center" vertical="center"/>
    </xf>
    <xf numFmtId="14" fontId="13" fillId="12" borderId="76" xfId="0" applyNumberFormat="1" applyFont="1" applyFill="1" applyBorder="1" applyAlignment="1" applyProtection="1">
      <alignment horizontal="center" vertical="center"/>
    </xf>
    <xf numFmtId="0" fontId="22" fillId="6" borderId="0" xfId="0" applyFont="1" applyFill="1" applyProtection="1">
      <protection locked="0"/>
    </xf>
    <xf numFmtId="3" fontId="15" fillId="5" borderId="0" xfId="3" applyNumberFormat="1" applyFont="1" applyFill="1" applyBorder="1" applyAlignment="1" applyProtection="1">
      <alignment vertical="center"/>
    </xf>
    <xf numFmtId="9" fontId="13" fillId="5" borderId="0" xfId="2" applyFont="1" applyFill="1" applyBorder="1" applyAlignment="1" applyProtection="1">
      <alignment horizontal="center" vertical="center"/>
    </xf>
    <xf numFmtId="9" fontId="13" fillId="7" borderId="66" xfId="2" applyFont="1" applyFill="1" applyBorder="1" applyAlignment="1" applyProtection="1">
      <alignment horizontal="center" vertical="center"/>
    </xf>
    <xf numFmtId="3" fontId="15" fillId="12" borderId="77" xfId="3" applyNumberFormat="1" applyFont="1" applyFill="1" applyBorder="1" applyAlignment="1" applyProtection="1">
      <alignment horizontal="center" vertical="center"/>
    </xf>
    <xf numFmtId="169" fontId="15" fillId="5" borderId="81" xfId="2" applyNumberFormat="1" applyFont="1" applyFill="1" applyBorder="1" applyAlignment="1" applyProtection="1">
      <alignment horizontal="center" vertical="center"/>
    </xf>
    <xf numFmtId="0" fontId="20" fillId="0" borderId="0" xfId="3" applyFont="1" applyAlignment="1" applyProtection="1">
      <alignment horizontal="center"/>
      <protection locked="0"/>
    </xf>
    <xf numFmtId="0" fontId="13" fillId="0" borderId="0" xfId="3" applyFont="1" applyProtection="1">
      <protection locked="0"/>
    </xf>
    <xf numFmtId="3" fontId="23" fillId="5" borderId="48" xfId="3" applyNumberFormat="1" applyFont="1" applyFill="1" applyBorder="1" applyAlignment="1" applyProtection="1">
      <alignment horizontal="center" vertical="center"/>
    </xf>
    <xf numFmtId="3" fontId="15" fillId="5" borderId="82" xfId="3" applyNumberFormat="1" applyFont="1" applyFill="1" applyBorder="1" applyAlignment="1" applyProtection="1">
      <alignment horizontal="left" vertical="center"/>
    </xf>
    <xf numFmtId="3" fontId="15" fillId="5" borderId="49" xfId="3" applyNumberFormat="1" applyFont="1" applyFill="1" applyBorder="1" applyAlignment="1" applyProtection="1">
      <alignment horizontal="left" vertical="center"/>
    </xf>
    <xf numFmtId="3" fontId="15" fillId="5" borderId="3" xfId="3" applyNumberFormat="1" applyFont="1" applyFill="1" applyBorder="1" applyAlignment="1" applyProtection="1">
      <alignment horizontal="left" vertical="center" wrapText="1"/>
      <protection locked="0"/>
    </xf>
    <xf numFmtId="3" fontId="15" fillId="5" borderId="5" xfId="3" applyNumberFormat="1" applyFont="1" applyFill="1" applyBorder="1" applyAlignment="1" applyProtection="1">
      <alignment horizontal="center" vertical="center"/>
    </xf>
    <xf numFmtId="3" fontId="23" fillId="5" borderId="36" xfId="3" applyNumberFormat="1" applyFont="1" applyFill="1" applyBorder="1" applyAlignment="1" applyProtection="1">
      <alignment horizontal="center" vertical="center"/>
    </xf>
    <xf numFmtId="3" fontId="13" fillId="5" borderId="37" xfId="3" applyNumberFormat="1" applyFont="1" applyFill="1" applyBorder="1" applyAlignment="1" applyProtection="1">
      <alignment vertical="center" wrapText="1"/>
      <protection locked="0"/>
    </xf>
    <xf numFmtId="3" fontId="13" fillId="5" borderId="52" xfId="3" applyNumberFormat="1" applyFont="1" applyFill="1" applyBorder="1" applyAlignment="1" applyProtection="1">
      <alignment horizontal="left" vertical="center"/>
      <protection locked="0"/>
    </xf>
    <xf numFmtId="3" fontId="23" fillId="5" borderId="8" xfId="3" applyNumberFormat="1" applyFont="1" applyFill="1" applyBorder="1" applyAlignment="1" applyProtection="1">
      <alignment horizontal="center" vertical="center"/>
    </xf>
    <xf numFmtId="3" fontId="13" fillId="5" borderId="9" xfId="3" applyNumberFormat="1" applyFont="1" applyFill="1" applyBorder="1" applyAlignment="1" applyProtection="1">
      <alignment vertical="center" wrapText="1"/>
      <protection locked="0"/>
    </xf>
    <xf numFmtId="3" fontId="13" fillId="5" borderId="22" xfId="3" applyNumberFormat="1" applyFont="1" applyFill="1" applyBorder="1" applyAlignment="1" applyProtection="1">
      <alignment horizontal="left" vertical="center"/>
      <protection locked="0"/>
    </xf>
    <xf numFmtId="169" fontId="13" fillId="5" borderId="0" xfId="2" applyNumberFormat="1" applyFont="1" applyFill="1" applyBorder="1" applyAlignment="1" applyProtection="1">
      <alignment horizontal="center" vertical="center"/>
    </xf>
    <xf numFmtId="9" fontId="15" fillId="5" borderId="0" xfId="3" applyNumberFormat="1" applyFont="1" applyFill="1" applyBorder="1" applyAlignment="1" applyProtection="1">
      <alignment vertical="center"/>
    </xf>
    <xf numFmtId="169" fontId="20" fillId="5" borderId="0" xfId="0" applyNumberFormat="1" applyFont="1" applyFill="1" applyAlignment="1" applyProtection="1">
      <alignment horizontal="left"/>
      <protection locked="0"/>
    </xf>
    <xf numFmtId="3" fontId="15" fillId="5" borderId="12" xfId="3" applyNumberFormat="1" applyFont="1" applyFill="1" applyBorder="1" applyAlignment="1" applyProtection="1">
      <alignment horizontal="left" vertical="center"/>
      <protection locked="0"/>
    </xf>
    <xf numFmtId="2" fontId="24" fillId="5" borderId="14" xfId="1" applyNumberFormat="1" applyFont="1" applyFill="1" applyBorder="1" applyAlignment="1" applyProtection="1">
      <alignment horizontal="center" vertical="center"/>
    </xf>
    <xf numFmtId="3" fontId="13" fillId="5" borderId="0" xfId="3" applyNumberFormat="1" applyFont="1" applyFill="1" applyBorder="1" applyAlignment="1" applyProtection="1">
      <alignment vertical="center" wrapText="1"/>
      <protection locked="0"/>
    </xf>
    <xf numFmtId="3" fontId="23" fillId="5" borderId="0" xfId="3" applyNumberFormat="1" applyFont="1" applyFill="1" applyBorder="1" applyAlignment="1" applyProtection="1">
      <alignment horizontal="center" vertical="center"/>
    </xf>
    <xf numFmtId="3" fontId="13" fillId="5" borderId="0" xfId="3" applyNumberFormat="1" applyFont="1" applyFill="1" applyBorder="1" applyAlignment="1" applyProtection="1">
      <alignment horizontal="left" vertical="center"/>
      <protection locked="0"/>
    </xf>
    <xf numFmtId="3" fontId="13" fillId="5" borderId="0" xfId="3" applyNumberFormat="1" applyFont="1" applyFill="1" applyBorder="1" applyAlignment="1" applyProtection="1">
      <alignment horizontal="center" vertical="center" wrapText="1"/>
      <protection locked="0"/>
    </xf>
    <xf numFmtId="3" fontId="25" fillId="5" borderId="0" xfId="3" applyNumberFormat="1" applyFont="1" applyFill="1" applyBorder="1" applyAlignment="1" applyProtection="1">
      <alignment vertical="center"/>
    </xf>
    <xf numFmtId="3" fontId="15" fillId="5" borderId="0" xfId="3" applyNumberFormat="1" applyFont="1" applyFill="1" applyBorder="1" applyAlignment="1" applyProtection="1">
      <alignment horizontal="left" vertical="center" wrapText="1"/>
      <protection locked="0"/>
    </xf>
    <xf numFmtId="3" fontId="13" fillId="5" borderId="0" xfId="3" applyNumberFormat="1" applyFont="1" applyFill="1" applyBorder="1" applyAlignment="1" applyProtection="1">
      <alignment vertical="center"/>
      <protection locked="0"/>
    </xf>
    <xf numFmtId="3" fontId="19" fillId="14" borderId="22" xfId="3" applyNumberFormat="1" applyFont="1" applyFill="1" applyBorder="1" applyAlignment="1" applyProtection="1">
      <alignment horizontal="center" vertical="center"/>
    </xf>
    <xf numFmtId="3" fontId="19" fillId="14" borderId="32" xfId="3" applyNumberFormat="1" applyFont="1" applyFill="1" applyBorder="1" applyAlignment="1" applyProtection="1">
      <alignment horizontal="left" vertical="center" indent="1"/>
    </xf>
    <xf numFmtId="3" fontId="19" fillId="14" borderId="32" xfId="3" applyNumberFormat="1" applyFont="1" applyFill="1" applyBorder="1" applyAlignment="1" applyProtection="1">
      <alignment vertical="center"/>
    </xf>
    <xf numFmtId="3" fontId="19" fillId="14" borderId="32" xfId="3" applyNumberFormat="1" applyFont="1" applyFill="1" applyBorder="1" applyAlignment="1" applyProtection="1">
      <alignment vertical="center"/>
      <protection locked="0"/>
    </xf>
    <xf numFmtId="0" fontId="20" fillId="0" borderId="0" xfId="0" applyFont="1"/>
    <xf numFmtId="0" fontId="13" fillId="5" borderId="0" xfId="3" applyFont="1" applyFill="1" applyBorder="1" applyAlignment="1" applyProtection="1">
      <alignment vertical="top"/>
      <protection locked="0"/>
    </xf>
    <xf numFmtId="0" fontId="15" fillId="5" borderId="83" xfId="3" applyNumberFormat="1" applyFont="1" applyFill="1" applyBorder="1" applyAlignment="1" applyProtection="1">
      <protection locked="0"/>
    </xf>
    <xf numFmtId="0" fontId="15" fillId="5" borderId="0" xfId="3" applyNumberFormat="1" applyFont="1" applyFill="1" applyBorder="1" applyAlignment="1" applyProtection="1">
      <protection locked="0"/>
    </xf>
    <xf numFmtId="3" fontId="15" fillId="5" borderId="0" xfId="3" applyNumberFormat="1" applyFont="1" applyFill="1" applyBorder="1" applyAlignment="1" applyProtection="1">
      <alignment vertical="center"/>
      <protection locked="0"/>
    </xf>
    <xf numFmtId="0" fontId="13" fillId="5" borderId="0" xfId="3" applyFont="1" applyFill="1" applyBorder="1" applyAlignment="1" applyProtection="1">
      <alignment horizontal="left" vertical="top"/>
      <protection locked="0"/>
    </xf>
    <xf numFmtId="1" fontId="15" fillId="9" borderId="0" xfId="3" applyNumberFormat="1" applyFont="1" applyFill="1" applyBorder="1" applyAlignment="1" applyProtection="1">
      <alignment wrapText="1"/>
      <protection locked="0"/>
    </xf>
    <xf numFmtId="0" fontId="15" fillId="9" borderId="0" xfId="3" applyNumberFormat="1" applyFont="1" applyFill="1" applyBorder="1" applyAlignment="1" applyProtection="1">
      <protection locked="0"/>
    </xf>
    <xf numFmtId="3" fontId="15" fillId="9" borderId="0" xfId="3" applyNumberFormat="1" applyFont="1" applyFill="1" applyBorder="1" applyAlignment="1" applyProtection="1">
      <alignment vertical="center"/>
      <protection locked="0"/>
    </xf>
    <xf numFmtId="0" fontId="13" fillId="9" borderId="0" xfId="3" applyFont="1" applyFill="1" applyBorder="1" applyAlignment="1" applyProtection="1">
      <alignment horizontal="left" vertical="top"/>
      <protection locked="0"/>
    </xf>
    <xf numFmtId="0" fontId="15" fillId="9" borderId="0" xfId="3" applyFont="1" applyFill="1" applyBorder="1" applyAlignment="1" applyProtection="1">
      <protection locked="0"/>
    </xf>
    <xf numFmtId="3" fontId="15" fillId="2" borderId="84" xfId="3" applyNumberFormat="1" applyFont="1" applyFill="1" applyBorder="1" applyAlignment="1" applyProtection="1">
      <alignment horizontal="center" vertical="center" wrapText="1"/>
    </xf>
    <xf numFmtId="3" fontId="15" fillId="2" borderId="85" xfId="3" applyNumberFormat="1" applyFont="1" applyFill="1" applyBorder="1" applyAlignment="1" applyProtection="1">
      <alignment horizontal="center" vertical="center" wrapText="1"/>
    </xf>
    <xf numFmtId="0" fontId="23" fillId="2" borderId="84" xfId="0" applyFont="1" applyFill="1" applyBorder="1" applyAlignment="1" applyProtection="1">
      <alignment horizontal="center" vertical="center" wrapText="1"/>
    </xf>
    <xf numFmtId="3" fontId="13" fillId="5" borderId="9" xfId="3" applyNumberFormat="1" applyFont="1" applyFill="1" applyBorder="1" applyAlignment="1" applyProtection="1">
      <alignment horizontal="center" vertical="center" wrapText="1"/>
    </xf>
    <xf numFmtId="3" fontId="13" fillId="5" borderId="9" xfId="3" applyNumberFormat="1" applyFont="1" applyFill="1" applyBorder="1" applyAlignment="1" applyProtection="1">
      <alignment horizontal="center" vertical="center" wrapText="1"/>
      <protection locked="0"/>
    </xf>
    <xf numFmtId="0" fontId="20" fillId="5" borderId="9" xfId="0" applyFont="1" applyFill="1" applyBorder="1" applyAlignment="1">
      <alignment wrapText="1"/>
    </xf>
    <xf numFmtId="165" fontId="23" fillId="0" borderId="9" xfId="1" applyNumberFormat="1" applyFont="1" applyBorder="1" applyAlignment="1">
      <alignment horizontal="center" vertical="center"/>
    </xf>
    <xf numFmtId="164" fontId="23" fillId="0" borderId="9" xfId="1" applyFont="1" applyBorder="1" applyAlignment="1">
      <alignment horizontal="center" vertical="center"/>
    </xf>
    <xf numFmtId="0" fontId="20" fillId="0" borderId="9" xfId="0" applyFont="1" applyBorder="1" applyAlignment="1">
      <alignment horizontal="center"/>
    </xf>
    <xf numFmtId="0" fontId="20" fillId="0" borderId="9" xfId="0" applyFont="1" applyBorder="1"/>
    <xf numFmtId="0" fontId="20" fillId="0" borderId="0" xfId="0" applyFont="1" applyAlignment="1">
      <alignment wrapText="1"/>
    </xf>
    <xf numFmtId="0" fontId="20" fillId="5" borderId="9" xfId="0" applyFont="1" applyFill="1" applyBorder="1" applyAlignment="1" applyProtection="1">
      <alignment horizontal="center" vertical="center" wrapText="1"/>
      <protection locked="0"/>
    </xf>
    <xf numFmtId="3" fontId="15" fillId="12" borderId="88" xfId="3" applyNumberFormat="1" applyFont="1" applyFill="1" applyBorder="1" applyAlignment="1" applyProtection="1">
      <alignment horizontal="center" vertical="center" wrapText="1"/>
    </xf>
    <xf numFmtId="3" fontId="13" fillId="5" borderId="88" xfId="3" applyNumberFormat="1" applyFont="1" applyFill="1" applyBorder="1" applyAlignment="1" applyProtection="1">
      <alignment horizontal="center" vertical="center" wrapText="1"/>
      <protection locked="0"/>
    </xf>
    <xf numFmtId="9" fontId="15" fillId="12" borderId="89" xfId="3" applyNumberFormat="1" applyFont="1" applyFill="1" applyBorder="1" applyAlignment="1" applyProtection="1">
      <alignment horizontal="center" vertical="center" wrapText="1"/>
    </xf>
    <xf numFmtId="0" fontId="23" fillId="12" borderId="89" xfId="0" applyFont="1" applyFill="1" applyBorder="1" applyAlignment="1" applyProtection="1">
      <alignment horizontal="center" vertical="center" wrapText="1"/>
    </xf>
    <xf numFmtId="3" fontId="15" fillId="12" borderId="65" xfId="3" applyNumberFormat="1" applyFont="1" applyFill="1" applyBorder="1" applyAlignment="1" applyProtection="1">
      <alignment horizontal="center" vertical="center" wrapText="1"/>
    </xf>
    <xf numFmtId="3" fontId="13" fillId="5" borderId="65" xfId="3" applyNumberFormat="1" applyFont="1" applyFill="1" applyBorder="1" applyAlignment="1" applyProtection="1">
      <alignment horizontal="center" vertical="center" wrapText="1"/>
      <protection locked="0"/>
    </xf>
    <xf numFmtId="9" fontId="15" fillId="12" borderId="90" xfId="3" applyNumberFormat="1" applyFont="1" applyFill="1" applyBorder="1" applyAlignment="1" applyProtection="1">
      <alignment horizontal="center" vertical="center" wrapText="1"/>
    </xf>
    <xf numFmtId="0" fontId="23" fillId="12" borderId="90" xfId="0" applyFont="1" applyFill="1" applyBorder="1" applyAlignment="1" applyProtection="1">
      <alignment horizontal="center" vertical="center" wrapText="1"/>
    </xf>
    <xf numFmtId="164" fontId="23" fillId="12" borderId="90" xfId="1" applyFont="1" applyFill="1" applyBorder="1" applyAlignment="1" applyProtection="1">
      <alignment horizontal="center" vertical="center" wrapText="1"/>
    </xf>
    <xf numFmtId="0" fontId="13" fillId="5" borderId="0" xfId="3" applyFont="1" applyFill="1" applyAlignment="1" applyProtection="1">
      <alignment vertical="top"/>
      <protection locked="0"/>
    </xf>
    <xf numFmtId="3" fontId="13" fillId="5" borderId="91" xfId="3" applyNumberFormat="1" applyFont="1" applyFill="1" applyBorder="1" applyAlignment="1" applyProtection="1">
      <alignment horizontal="center" vertical="center" wrapText="1"/>
      <protection locked="0"/>
    </xf>
    <xf numFmtId="0" fontId="23" fillId="2" borderId="9" xfId="0" applyFont="1" applyFill="1" applyBorder="1" applyAlignment="1">
      <alignment horizontal="center" vertical="center"/>
    </xf>
    <xf numFmtId="0" fontId="23" fillId="2" borderId="9" xfId="0" applyFont="1" applyFill="1" applyBorder="1" applyAlignment="1">
      <alignment horizontal="center"/>
    </xf>
    <xf numFmtId="165" fontId="23" fillId="0" borderId="0" xfId="1" applyNumberFormat="1" applyFont="1" applyBorder="1"/>
    <xf numFmtId="9" fontId="23" fillId="0" borderId="0" xfId="2" applyFont="1" applyBorder="1"/>
    <xf numFmtId="0" fontId="23" fillId="5" borderId="9" xfId="0" applyFont="1" applyFill="1" applyBorder="1" applyAlignment="1">
      <alignment horizontal="center" vertical="center"/>
    </xf>
    <xf numFmtId="0" fontId="20" fillId="5" borderId="9" xfId="0" applyFont="1" applyFill="1" applyBorder="1" applyAlignment="1">
      <alignment horizontal="left" vertical="center" wrapText="1"/>
    </xf>
    <xf numFmtId="0" fontId="20" fillId="5" borderId="9" xfId="0" applyFont="1" applyFill="1" applyBorder="1" applyAlignment="1">
      <alignment horizontal="center" vertical="center"/>
    </xf>
    <xf numFmtId="0" fontId="20" fillId="5" borderId="9" xfId="0" applyFont="1" applyFill="1" applyBorder="1" applyAlignment="1">
      <alignment vertical="center"/>
    </xf>
    <xf numFmtId="0" fontId="20" fillId="5" borderId="9" xfId="0" applyFont="1" applyFill="1" applyBorder="1" applyAlignment="1">
      <alignment horizontal="left" vertical="center"/>
    </xf>
    <xf numFmtId="0" fontId="20" fillId="5" borderId="0" xfId="0" applyFont="1" applyFill="1"/>
    <xf numFmtId="0" fontId="20" fillId="6" borderId="37" xfId="0" applyFont="1" applyFill="1" applyBorder="1" applyAlignment="1">
      <alignment horizontal="center" vertical="center"/>
    </xf>
    <xf numFmtId="0" fontId="23" fillId="0" borderId="0" xfId="0" applyFont="1" applyAlignment="1">
      <alignment horizontal="center" vertical="center"/>
    </xf>
    <xf numFmtId="164" fontId="20" fillId="0" borderId="0" xfId="1" applyFont="1"/>
    <xf numFmtId="164" fontId="20" fillId="0" borderId="0" xfId="0" applyNumberFormat="1" applyFont="1"/>
    <xf numFmtId="0" fontId="23" fillId="15" borderId="3" xfId="0" applyFont="1" applyFill="1" applyBorder="1" applyAlignment="1">
      <alignment horizontal="center" vertical="center"/>
    </xf>
    <xf numFmtId="0" fontId="23" fillId="15" borderId="5" xfId="0" applyFont="1" applyFill="1" applyBorder="1" applyAlignment="1">
      <alignment horizontal="center" vertical="center"/>
    </xf>
    <xf numFmtId="0" fontId="20" fillId="6" borderId="8" xfId="0" applyFont="1" applyFill="1" applyBorder="1" applyAlignment="1">
      <alignment horizontal="center" vertical="center"/>
    </xf>
    <xf numFmtId="0" fontId="20" fillId="6" borderId="10" xfId="0" applyFont="1" applyFill="1" applyBorder="1" applyAlignment="1">
      <alignment horizontal="center" vertical="center"/>
    </xf>
    <xf numFmtId="3" fontId="13" fillId="16" borderId="85" xfId="3" applyNumberFormat="1" applyFont="1" applyFill="1" applyBorder="1" applyAlignment="1" applyProtection="1">
      <alignment horizontal="left" vertical="center"/>
      <protection locked="0"/>
    </xf>
    <xf numFmtId="3" fontId="13" fillId="16" borderId="92" xfId="3" applyNumberFormat="1" applyFont="1" applyFill="1" applyBorder="1" applyAlignment="1" applyProtection="1">
      <alignment horizontal="left" vertical="center"/>
      <protection locked="0"/>
    </xf>
    <xf numFmtId="3" fontId="13" fillId="16" borderId="86" xfId="3" applyNumberFormat="1" applyFont="1" applyFill="1" applyBorder="1" applyAlignment="1" applyProtection="1">
      <alignment horizontal="left" vertical="center"/>
      <protection locked="0"/>
    </xf>
    <xf numFmtId="3" fontId="13" fillId="16" borderId="87" xfId="3" applyNumberFormat="1" applyFont="1" applyFill="1" applyBorder="1" applyAlignment="1" applyProtection="1">
      <alignment horizontal="left" vertical="center"/>
      <protection locked="0"/>
    </xf>
    <xf numFmtId="164" fontId="13" fillId="5" borderId="0" xfId="3" applyNumberFormat="1" applyFont="1" applyFill="1" applyAlignment="1" applyProtection="1">
      <alignment vertical="top"/>
      <protection locked="0"/>
    </xf>
    <xf numFmtId="9" fontId="13" fillId="5" borderId="0" xfId="2" applyFont="1" applyFill="1" applyAlignment="1" applyProtection="1">
      <alignment vertical="top"/>
      <protection locked="0"/>
    </xf>
    <xf numFmtId="3" fontId="15" fillId="2" borderId="9" xfId="3" applyNumberFormat="1" applyFont="1" applyFill="1" applyBorder="1" applyAlignment="1" applyProtection="1">
      <alignment horizontal="center" vertical="center" wrapText="1"/>
    </xf>
    <xf numFmtId="0" fontId="23" fillId="2" borderId="9" xfId="0" applyFont="1" applyFill="1" applyBorder="1" applyAlignment="1" applyProtection="1">
      <alignment horizontal="center" vertical="center" wrapText="1"/>
    </xf>
    <xf numFmtId="0" fontId="13" fillId="0" borderId="9" xfId="0" applyFont="1" applyBorder="1" applyAlignment="1">
      <alignment horizontal="center" vertical="center" wrapText="1"/>
    </xf>
    <xf numFmtId="3" fontId="13" fillId="12" borderId="9" xfId="3" applyNumberFormat="1" applyFont="1" applyFill="1" applyBorder="1" applyAlignment="1" applyProtection="1">
      <alignment horizontal="center" vertical="center" wrapText="1"/>
    </xf>
    <xf numFmtId="3" fontId="13" fillId="5" borderId="9" xfId="3" applyNumberFormat="1" applyFont="1" applyFill="1" applyBorder="1" applyAlignment="1" applyProtection="1">
      <alignment horizontal="left" vertical="center" wrapText="1"/>
      <protection locked="0"/>
    </xf>
    <xf numFmtId="3" fontId="15" fillId="12" borderId="9" xfId="3" applyNumberFormat="1" applyFont="1" applyFill="1" applyBorder="1" applyAlignment="1" applyProtection="1">
      <alignment horizontal="center" vertical="center" wrapText="1"/>
    </xf>
    <xf numFmtId="169" fontId="13" fillId="12" borderId="9" xfId="3" applyNumberFormat="1" applyFont="1" applyFill="1" applyBorder="1" applyAlignment="1" applyProtection="1">
      <alignment horizontal="center" vertical="center" wrapText="1"/>
    </xf>
    <xf numFmtId="0" fontId="13" fillId="5" borderId="9" xfId="3" applyFont="1" applyFill="1" applyBorder="1" applyAlignment="1" applyProtection="1">
      <alignment vertical="top"/>
      <protection locked="0"/>
    </xf>
    <xf numFmtId="169" fontId="15" fillId="12" borderId="9" xfId="3" applyNumberFormat="1" applyFont="1" applyFill="1" applyBorder="1" applyAlignment="1" applyProtection="1">
      <alignment horizontal="center" vertical="center" wrapText="1"/>
    </xf>
    <xf numFmtId="3" fontId="20" fillId="0" borderId="0" xfId="0" applyNumberFormat="1" applyFont="1"/>
    <xf numFmtId="9" fontId="20" fillId="0" borderId="0" xfId="2" applyFont="1"/>
    <xf numFmtId="3" fontId="15" fillId="2" borderId="90" xfId="3" applyNumberFormat="1" applyFont="1" applyFill="1" applyBorder="1" applyAlignment="1" applyProtection="1">
      <alignment horizontal="center" vertical="center" wrapText="1"/>
    </xf>
    <xf numFmtId="3" fontId="21" fillId="2" borderId="90" xfId="3" applyNumberFormat="1" applyFont="1" applyFill="1" applyBorder="1" applyAlignment="1" applyProtection="1">
      <alignment horizontal="center" vertical="center" wrapText="1"/>
    </xf>
    <xf numFmtId="0" fontId="29" fillId="17" borderId="93" xfId="3" applyFont="1" applyFill="1" applyBorder="1" applyAlignment="1" applyProtection="1">
      <alignment horizontal="left"/>
    </xf>
    <xf numFmtId="4" fontId="29" fillId="7" borderId="58" xfId="3" applyNumberFormat="1" applyFont="1" applyFill="1" applyBorder="1" applyAlignment="1" applyProtection="1">
      <alignment horizontal="right"/>
      <protection locked="0"/>
    </xf>
    <xf numFmtId="0" fontId="29" fillId="17" borderId="61" xfId="3" applyFont="1" applyFill="1" applyBorder="1" applyAlignment="1" applyProtection="1">
      <protection locked="0"/>
    </xf>
    <xf numFmtId="3" fontId="13" fillId="5" borderId="90" xfId="3" applyNumberFormat="1" applyFont="1" applyFill="1" applyBorder="1" applyAlignment="1" applyProtection="1">
      <alignment horizontal="center" vertical="center"/>
      <protection locked="0"/>
    </xf>
    <xf numFmtId="3" fontId="13" fillId="5" borderId="90" xfId="3" applyNumberFormat="1" applyFont="1" applyFill="1" applyBorder="1" applyAlignment="1" applyProtection="1">
      <alignment horizontal="center" vertical="center" wrapText="1"/>
      <protection locked="0"/>
    </xf>
    <xf numFmtId="0" fontId="20" fillId="0" borderId="0" xfId="0" applyFont="1" applyAlignment="1">
      <alignment horizontal="center" vertical="center"/>
    </xf>
    <xf numFmtId="3" fontId="21" fillId="5" borderId="90" xfId="3" applyNumberFormat="1" applyFont="1" applyFill="1" applyBorder="1" applyAlignment="1" applyProtection="1">
      <alignment horizontal="center" vertical="center"/>
    </xf>
    <xf numFmtId="14" fontId="13" fillId="5" borderId="90" xfId="3" applyNumberFormat="1" applyFont="1" applyFill="1" applyBorder="1" applyAlignment="1" applyProtection="1">
      <alignment horizontal="center" vertical="center"/>
      <protection locked="0"/>
    </xf>
    <xf numFmtId="9" fontId="13" fillId="5" borderId="90" xfId="3" applyNumberFormat="1" applyFont="1" applyFill="1" applyBorder="1" applyAlignment="1" applyProtection="1">
      <alignment horizontal="center" vertical="center"/>
      <protection locked="0"/>
    </xf>
    <xf numFmtId="3" fontId="13" fillId="12" borderId="90" xfId="3" applyNumberFormat="1" applyFont="1" applyFill="1" applyBorder="1" applyAlignment="1" applyProtection="1">
      <alignment horizontal="center" vertical="center"/>
    </xf>
    <xf numFmtId="0" fontId="29" fillId="17" borderId="90" xfId="3" applyFont="1" applyFill="1" applyBorder="1" applyAlignment="1" applyProtection="1">
      <alignment horizontal="left"/>
    </xf>
    <xf numFmtId="4" fontId="29" fillId="7" borderId="63" xfId="3" applyNumberFormat="1" applyFont="1" applyFill="1" applyBorder="1" applyAlignment="1" applyProtection="1">
      <alignment horizontal="right"/>
      <protection locked="0"/>
    </xf>
    <xf numFmtId="0" fontId="29" fillId="17" borderId="66" xfId="3" applyFont="1" applyFill="1" applyBorder="1" applyAlignment="1" applyProtection="1">
      <protection locked="0"/>
    </xf>
    <xf numFmtId="49" fontId="13" fillId="5" borderId="90" xfId="3" applyNumberFormat="1" applyFont="1" applyFill="1" applyBorder="1" applyAlignment="1" applyProtection="1">
      <alignment horizontal="center" vertical="center"/>
      <protection locked="0"/>
    </xf>
    <xf numFmtId="0" fontId="29" fillId="17" borderId="78" xfId="3" applyFont="1" applyFill="1" applyBorder="1" applyAlignment="1" applyProtection="1">
      <alignment horizontal="left"/>
    </xf>
    <xf numFmtId="4" fontId="29" fillId="17" borderId="78" xfId="3" applyNumberFormat="1" applyFont="1" applyFill="1" applyBorder="1" applyAlignment="1" applyProtection="1">
      <alignment horizontal="right"/>
      <protection locked="0"/>
    </xf>
    <xf numFmtId="0" fontId="29" fillId="17" borderId="81" xfId="3" applyFont="1" applyFill="1" applyBorder="1" applyAlignment="1" applyProtection="1"/>
    <xf numFmtId="3" fontId="21" fillId="12" borderId="90" xfId="3" applyNumberFormat="1" applyFont="1" applyFill="1" applyBorder="1" applyAlignment="1" applyProtection="1">
      <alignment horizontal="center" vertical="center"/>
    </xf>
    <xf numFmtId="3" fontId="15" fillId="12" borderId="90" xfId="3" applyNumberFormat="1" applyFont="1" applyFill="1" applyBorder="1" applyAlignment="1" applyProtection="1">
      <alignment horizontal="center" vertical="center"/>
    </xf>
    <xf numFmtId="3" fontId="21" fillId="12" borderId="84" xfId="3" applyNumberFormat="1" applyFont="1" applyFill="1" applyBorder="1" applyAlignment="1" applyProtection="1">
      <alignment horizontal="center" vertical="center"/>
    </xf>
    <xf numFmtId="3" fontId="15" fillId="12" borderId="84" xfId="3" applyNumberFormat="1" applyFont="1" applyFill="1" applyBorder="1" applyAlignment="1" applyProtection="1">
      <alignment horizontal="center" vertical="center"/>
    </xf>
    <xf numFmtId="3" fontId="21" fillId="0" borderId="5" xfId="3" applyNumberFormat="1" applyFont="1" applyFill="1" applyBorder="1" applyAlignment="1" applyProtection="1">
      <alignment horizontal="center" vertical="center"/>
    </xf>
    <xf numFmtId="3" fontId="15" fillId="5" borderId="0" xfId="3" applyNumberFormat="1" applyFont="1" applyFill="1" applyBorder="1" applyAlignment="1" applyProtection="1">
      <alignment horizontal="center" vertical="center"/>
      <protection locked="0"/>
    </xf>
    <xf numFmtId="0" fontId="20" fillId="5" borderId="0" xfId="0" applyFont="1" applyFill="1" applyAlignment="1" applyProtection="1">
      <alignment horizontal="center" vertical="center"/>
      <protection locked="0"/>
    </xf>
    <xf numFmtId="3" fontId="23" fillId="10" borderId="14" xfId="0" applyNumberFormat="1" applyFont="1" applyFill="1" applyBorder="1" applyAlignment="1">
      <alignment horizontal="center" vertical="center"/>
    </xf>
    <xf numFmtId="0" fontId="20" fillId="2" borderId="9" xfId="0" applyFont="1" applyFill="1" applyBorder="1" applyAlignment="1">
      <alignment horizontal="center" vertical="center" wrapText="1"/>
    </xf>
    <xf numFmtId="3" fontId="15" fillId="5" borderId="0" xfId="3" applyNumberFormat="1" applyFont="1" applyFill="1" applyBorder="1" applyAlignment="1" applyProtection="1">
      <alignment horizontal="right" vertical="center" wrapText="1"/>
      <protection locked="0"/>
    </xf>
    <xf numFmtId="0" fontId="20" fillId="5" borderId="0" xfId="0" applyFont="1" applyFill="1" applyAlignment="1" applyProtection="1">
      <alignment horizontal="center" vertical="center" wrapText="1"/>
      <protection locked="0"/>
    </xf>
    <xf numFmtId="0" fontId="20" fillId="6" borderId="9" xfId="0" applyFont="1" applyFill="1" applyBorder="1" applyAlignment="1">
      <alignment horizontal="center" vertical="center" wrapText="1"/>
    </xf>
    <xf numFmtId="9" fontId="20" fillId="0" borderId="0" xfId="2" applyFont="1" applyAlignment="1">
      <alignment horizontal="center"/>
    </xf>
    <xf numFmtId="3" fontId="20" fillId="0" borderId="0" xfId="0" applyNumberFormat="1" applyFont="1" applyAlignment="1">
      <alignment horizontal="center"/>
    </xf>
    <xf numFmtId="3" fontId="15" fillId="2" borderId="63" xfId="3" applyNumberFormat="1" applyFont="1" applyFill="1" applyBorder="1" applyAlignment="1" applyProtection="1">
      <alignment horizontal="center" vertical="center" wrapText="1"/>
    </xf>
    <xf numFmtId="0" fontId="30" fillId="17" borderId="90" xfId="3" applyFont="1" applyFill="1" applyBorder="1" applyAlignment="1" applyProtection="1">
      <alignment horizontal="left"/>
    </xf>
    <xf numFmtId="4" fontId="30" fillId="17" borderId="63" xfId="3" applyNumberFormat="1" applyFont="1" applyFill="1" applyBorder="1" applyAlignment="1" applyProtection="1">
      <alignment horizontal="right"/>
      <protection locked="0"/>
    </xf>
    <xf numFmtId="0" fontId="30" fillId="17" borderId="90" xfId="3" applyFont="1" applyFill="1" applyBorder="1" applyAlignment="1" applyProtection="1">
      <protection locked="0"/>
    </xf>
    <xf numFmtId="49" fontId="15" fillId="12" borderId="90" xfId="3" applyNumberFormat="1" applyFont="1" applyFill="1" applyBorder="1" applyAlignment="1" applyProtection="1">
      <alignment horizontal="center" vertical="center"/>
    </xf>
    <xf numFmtId="0" fontId="30" fillId="17" borderId="63" xfId="3" applyFont="1" applyFill="1" applyBorder="1" applyAlignment="1" applyProtection="1">
      <alignment horizontal="left"/>
    </xf>
    <xf numFmtId="0" fontId="30" fillId="17" borderId="90" xfId="3" applyFont="1" applyFill="1" applyBorder="1" applyAlignment="1" applyProtection="1"/>
    <xf numFmtId="0" fontId="30" fillId="17" borderId="0" xfId="3" applyFont="1" applyFill="1" applyBorder="1" applyAlignment="1" applyProtection="1">
      <alignment horizontal="left"/>
    </xf>
    <xf numFmtId="4" fontId="30" fillId="17" borderId="0" xfId="3" applyNumberFormat="1" applyFont="1" applyFill="1" applyBorder="1" applyAlignment="1" applyProtection="1">
      <alignment horizontal="right"/>
      <protection locked="0"/>
    </xf>
    <xf numFmtId="0" fontId="30" fillId="17" borderId="0" xfId="3" applyFont="1" applyFill="1" applyBorder="1" applyAlignment="1" applyProtection="1"/>
    <xf numFmtId="3" fontId="15" fillId="12" borderId="90" xfId="3" applyNumberFormat="1" applyFont="1" applyFill="1" applyBorder="1" applyAlignment="1" applyProtection="1">
      <alignment vertical="center"/>
    </xf>
    <xf numFmtId="3" fontId="15" fillId="6" borderId="90" xfId="3" applyNumberFormat="1" applyFont="1" applyFill="1" applyBorder="1" applyAlignment="1" applyProtection="1">
      <alignment horizontal="center" vertical="center"/>
    </xf>
    <xf numFmtId="0" fontId="20" fillId="0" borderId="9" xfId="0" applyFont="1" applyBorder="1" applyAlignment="1">
      <alignment horizontal="left" vertical="center"/>
    </xf>
    <xf numFmtId="3" fontId="20" fillId="0" borderId="9" xfId="0" applyNumberFormat="1" applyFont="1" applyBorder="1" applyAlignment="1">
      <alignment horizontal="center" vertical="center"/>
    </xf>
    <xf numFmtId="165" fontId="20" fillId="7" borderId="9" xfId="0" applyNumberFormat="1" applyFont="1" applyFill="1" applyBorder="1"/>
    <xf numFmtId="9" fontId="20" fillId="6" borderId="9" xfId="2" applyFont="1" applyFill="1" applyBorder="1" applyAlignment="1">
      <alignment horizontal="center"/>
    </xf>
    <xf numFmtId="0" fontId="23" fillId="3" borderId="9" xfId="0" applyFont="1" applyFill="1" applyBorder="1" applyAlignment="1">
      <alignment horizontal="center" vertical="center"/>
    </xf>
    <xf numFmtId="0" fontId="20" fillId="6" borderId="9" xfId="0" applyFont="1" applyFill="1" applyBorder="1" applyAlignment="1">
      <alignment horizontal="center" vertical="center"/>
    </xf>
    <xf numFmtId="164" fontId="31" fillId="0" borderId="0" xfId="1" applyFont="1"/>
    <xf numFmtId="3" fontId="15" fillId="12" borderId="88" xfId="3" applyNumberFormat="1" applyFont="1" applyFill="1" applyBorder="1" applyAlignment="1" applyProtection="1">
      <alignment vertical="center" wrapText="1"/>
    </xf>
    <xf numFmtId="3" fontId="15" fillId="12" borderId="65" xfId="3" applyNumberFormat="1" applyFont="1" applyFill="1" applyBorder="1" applyAlignment="1" applyProtection="1">
      <alignment vertical="center" wrapText="1"/>
    </xf>
    <xf numFmtId="169" fontId="8" fillId="5" borderId="13" xfId="2" applyNumberFormat="1" applyFont="1" applyFill="1" applyBorder="1" applyAlignment="1" applyProtection="1">
      <alignment horizontal="center" vertical="center"/>
    </xf>
    <xf numFmtId="164" fontId="20" fillId="5" borderId="0" xfId="1" applyFont="1" applyFill="1" applyProtection="1">
      <protection locked="0"/>
    </xf>
    <xf numFmtId="169" fontId="13" fillId="5" borderId="66" xfId="2" applyNumberFormat="1" applyFont="1" applyFill="1" applyBorder="1" applyAlignment="1" applyProtection="1">
      <alignment horizontal="center" vertical="center"/>
    </xf>
    <xf numFmtId="0" fontId="0" fillId="5" borderId="0" xfId="0" applyFill="1"/>
    <xf numFmtId="3" fontId="13" fillId="7" borderId="9" xfId="3" applyNumberFormat="1" applyFont="1" applyFill="1" applyBorder="1" applyAlignment="1" applyProtection="1">
      <alignment horizontal="center" vertical="center" wrapText="1"/>
      <protection locked="0"/>
    </xf>
    <xf numFmtId="165" fontId="23" fillId="7" borderId="9" xfId="1" applyNumberFormat="1" applyFont="1" applyFill="1" applyBorder="1" applyAlignment="1">
      <alignment horizontal="center" vertical="center"/>
    </xf>
    <xf numFmtId="3" fontId="13" fillId="7" borderId="90" xfId="3" applyNumberFormat="1" applyFont="1" applyFill="1" applyBorder="1" applyAlignment="1" applyProtection="1">
      <alignment horizontal="center" vertical="center"/>
      <protection locked="0"/>
    </xf>
    <xf numFmtId="165" fontId="20" fillId="0" borderId="0" xfId="0" applyNumberFormat="1" applyFont="1"/>
    <xf numFmtId="164" fontId="13" fillId="5" borderId="0" xfId="1" applyFont="1" applyFill="1" applyAlignment="1" applyProtection="1">
      <alignment vertical="top"/>
      <protection locked="0"/>
    </xf>
    <xf numFmtId="3" fontId="23" fillId="0" borderId="8" xfId="3" applyNumberFormat="1" applyFont="1" applyFill="1" applyBorder="1" applyAlignment="1" applyProtection="1">
      <alignment horizontal="center" vertical="center"/>
    </xf>
    <xf numFmtId="3" fontId="13" fillId="0" borderId="9" xfId="3" applyNumberFormat="1" applyFont="1" applyFill="1" applyBorder="1" applyAlignment="1" applyProtection="1">
      <alignment vertical="center" wrapText="1"/>
      <protection locked="0"/>
    </xf>
    <xf numFmtId="3" fontId="13" fillId="0" borderId="22" xfId="3" applyNumberFormat="1" applyFont="1" applyFill="1" applyBorder="1" applyAlignment="1" applyProtection="1">
      <alignment horizontal="left" vertical="center"/>
      <protection locked="0"/>
    </xf>
    <xf numFmtId="0" fontId="32" fillId="0" borderId="0" xfId="0" applyFont="1" applyBorder="1"/>
    <xf numFmtId="0" fontId="20" fillId="0" borderId="0" xfId="0" applyFont="1" applyBorder="1"/>
    <xf numFmtId="0" fontId="33" fillId="0" borderId="0" xfId="0" applyFont="1" applyBorder="1" applyAlignment="1">
      <alignment vertical="center" wrapText="1"/>
    </xf>
    <xf numFmtId="0" fontId="23" fillId="6" borderId="9" xfId="0" applyFont="1" applyFill="1" applyBorder="1" applyAlignment="1">
      <alignment vertical="center" wrapText="1"/>
    </xf>
    <xf numFmtId="0" fontId="37" fillId="0" borderId="0" xfId="0" applyFont="1"/>
    <xf numFmtId="169" fontId="38" fillId="0" borderId="9" xfId="0" applyNumberFormat="1" applyFont="1" applyFill="1" applyBorder="1" applyAlignment="1">
      <alignment horizontal="center" vertical="center"/>
    </xf>
    <xf numFmtId="165" fontId="38" fillId="0" borderId="9" xfId="1" applyNumberFormat="1" applyFont="1" applyFill="1" applyBorder="1" applyAlignment="1">
      <alignment horizontal="center" vertical="center"/>
    </xf>
    <xf numFmtId="165" fontId="38" fillId="7" borderId="9" xfId="1" applyNumberFormat="1" applyFont="1" applyFill="1" applyBorder="1" applyAlignment="1">
      <alignment horizontal="center" vertical="center"/>
    </xf>
    <xf numFmtId="0" fontId="38" fillId="0" borderId="9" xfId="0" applyFont="1" applyFill="1" applyBorder="1" applyAlignment="1">
      <alignment horizontal="center" vertical="center" wrapText="1"/>
    </xf>
    <xf numFmtId="0" fontId="38" fillId="0" borderId="9" xfId="0" applyFont="1" applyFill="1" applyBorder="1" applyAlignment="1">
      <alignment horizontal="left" vertical="center" wrapText="1"/>
    </xf>
    <xf numFmtId="0" fontId="39" fillId="18" borderId="9" xfId="7" applyFont="1" applyBorder="1" applyAlignment="1">
      <alignment horizontal="center" vertical="center" wrapText="1"/>
    </xf>
    <xf numFmtId="169" fontId="39" fillId="18" borderId="9" xfId="2" applyNumberFormat="1" applyFont="1" applyFill="1" applyBorder="1" applyAlignment="1">
      <alignment horizontal="center" vertical="center" wrapText="1"/>
    </xf>
    <xf numFmtId="14" fontId="23" fillId="12" borderId="9" xfId="0" applyNumberFormat="1" applyFont="1" applyFill="1" applyBorder="1" applyAlignment="1">
      <alignment horizontal="center" vertical="center" wrapText="1"/>
    </xf>
    <xf numFmtId="0" fontId="23" fillId="12" borderId="9" xfId="0" applyFont="1" applyFill="1" applyBorder="1" applyAlignment="1">
      <alignment horizontal="center" vertical="center" wrapText="1"/>
    </xf>
    <xf numFmtId="0" fontId="40" fillId="19" borderId="9" xfId="8" applyFont="1" applyBorder="1" applyAlignment="1">
      <alignment horizontal="center" vertical="center" wrapText="1"/>
    </xf>
    <xf numFmtId="0" fontId="41" fillId="20" borderId="9" xfId="9" applyFont="1" applyBorder="1" applyAlignment="1">
      <alignment horizontal="center" vertical="center" wrapText="1"/>
    </xf>
    <xf numFmtId="9" fontId="23" fillId="12" borderId="9" xfId="0" applyNumberFormat="1" applyFont="1" applyFill="1" applyBorder="1" applyAlignment="1">
      <alignment horizontal="center" vertical="center" wrapText="1"/>
    </xf>
    <xf numFmtId="3" fontId="23" fillId="7" borderId="12" xfId="3" applyNumberFormat="1" applyFont="1" applyFill="1" applyBorder="1" applyAlignment="1" applyProtection="1">
      <alignment horizontal="center" vertical="center"/>
    </xf>
    <xf numFmtId="3" fontId="13" fillId="7" borderId="13" xfId="3" applyNumberFormat="1" applyFont="1" applyFill="1" applyBorder="1" applyAlignment="1" applyProtection="1">
      <alignment vertical="center" wrapText="1"/>
      <protection locked="0"/>
    </xf>
    <xf numFmtId="3" fontId="13" fillId="7" borderId="26" xfId="3" applyNumberFormat="1" applyFont="1" applyFill="1" applyBorder="1" applyAlignment="1" applyProtection="1">
      <alignment vertical="center"/>
      <protection locked="0"/>
    </xf>
    <xf numFmtId="3" fontId="15" fillId="12" borderId="63" xfId="3" applyNumberFormat="1" applyFont="1" applyFill="1" applyBorder="1" applyAlignment="1" applyProtection="1">
      <alignment horizontal="left" vertical="center"/>
    </xf>
    <xf numFmtId="3" fontId="15" fillId="12" borderId="64" xfId="3" applyNumberFormat="1" applyFont="1" applyFill="1" applyBorder="1" applyAlignment="1" applyProtection="1">
      <alignment horizontal="left" vertical="center"/>
    </xf>
    <xf numFmtId="3" fontId="15" fillId="12" borderId="65" xfId="3" applyNumberFormat="1" applyFont="1" applyFill="1" applyBorder="1" applyAlignment="1" applyProtection="1">
      <alignment horizontal="left" vertical="center"/>
    </xf>
    <xf numFmtId="167" fontId="13" fillId="7" borderId="25" xfId="5" applyNumberFormat="1" applyFont="1" applyFill="1" applyBorder="1" applyAlignment="1" applyProtection="1">
      <alignment horizontal="center" vertical="center"/>
    </xf>
    <xf numFmtId="0" fontId="2" fillId="6" borderId="8" xfId="4" applyFont="1" applyFill="1" applyBorder="1" applyAlignment="1">
      <alignment horizontal="center" vertical="center"/>
    </xf>
    <xf numFmtId="0" fontId="13" fillId="0" borderId="55" xfId="4" applyFont="1" applyFill="1" applyBorder="1" applyAlignment="1">
      <alignment horizontal="center" vertical="center"/>
    </xf>
    <xf numFmtId="0" fontId="13" fillId="0" borderId="23" xfId="4" applyFont="1" applyFill="1" applyBorder="1" applyAlignment="1">
      <alignment horizontal="left" vertical="center" wrapText="1"/>
    </xf>
    <xf numFmtId="0" fontId="13" fillId="0" borderId="10" xfId="4" applyFont="1" applyFill="1" applyBorder="1" applyAlignment="1">
      <alignment horizontal="left" vertical="center" wrapText="1"/>
    </xf>
    <xf numFmtId="0" fontId="20" fillId="2" borderId="9" xfId="0" applyFont="1" applyFill="1" applyBorder="1" applyAlignment="1">
      <alignment horizontal="center" vertical="center" wrapText="1"/>
    </xf>
    <xf numFmtId="9" fontId="23" fillId="0" borderId="9" xfId="2" applyFont="1" applyBorder="1" applyAlignment="1">
      <alignment horizontal="center" vertical="center"/>
    </xf>
    <xf numFmtId="165" fontId="20" fillId="0" borderId="0" xfId="1" applyNumberFormat="1" applyFont="1"/>
    <xf numFmtId="0" fontId="45" fillId="0" borderId="0" xfId="0" applyFont="1" applyAlignment="1">
      <alignment horizontal="center" vertical="center" wrapText="1"/>
    </xf>
    <xf numFmtId="170" fontId="44" fillId="7" borderId="94" xfId="10" applyNumberFormat="1" applyFont="1" applyFill="1" applyBorder="1" applyAlignment="1">
      <alignment horizontal="center" vertical="center" wrapText="1"/>
    </xf>
    <xf numFmtId="3" fontId="45" fillId="0" borderId="0" xfId="0" applyNumberFormat="1" applyFont="1" applyAlignment="1">
      <alignment horizontal="center" vertical="center" wrapText="1"/>
    </xf>
    <xf numFmtId="10" fontId="44" fillId="0" borderId="94" xfId="0" applyNumberFormat="1" applyFont="1" applyBorder="1" applyAlignment="1">
      <alignment horizontal="center" vertical="center" wrapText="1"/>
    </xf>
    <xf numFmtId="0" fontId="45" fillId="0" borderId="9" xfId="0" applyFont="1" applyBorder="1" applyAlignment="1">
      <alignment horizontal="center" vertical="center" wrapText="1"/>
    </xf>
    <xf numFmtId="0" fontId="45" fillId="0" borderId="9" xfId="0" applyFont="1" applyFill="1" applyBorder="1" applyAlignment="1">
      <alignment horizontal="center" vertical="center" wrapText="1"/>
    </xf>
    <xf numFmtId="171" fontId="45" fillId="0" borderId="9" xfId="0" applyNumberFormat="1" applyFont="1" applyFill="1" applyBorder="1" applyAlignment="1">
      <alignment horizontal="center" vertical="center" wrapText="1"/>
    </xf>
    <xf numFmtId="171" fontId="45" fillId="0" borderId="9" xfId="0" applyNumberFormat="1" applyFont="1" applyBorder="1" applyAlignment="1">
      <alignment horizontal="center" vertical="center" wrapText="1"/>
    </xf>
    <xf numFmtId="172" fontId="45" fillId="0" borderId="0" xfId="10" applyNumberFormat="1" applyFont="1" applyAlignment="1">
      <alignment horizontal="center" vertical="center" wrapText="1"/>
    </xf>
    <xf numFmtId="171" fontId="45" fillId="0" borderId="0" xfId="0" applyNumberFormat="1" applyFont="1" applyAlignment="1">
      <alignment horizontal="center" vertical="center" wrapText="1"/>
    </xf>
    <xf numFmtId="4" fontId="45" fillId="0" borderId="0" xfId="0" applyNumberFormat="1" applyFont="1" applyAlignment="1">
      <alignment horizontal="center" vertical="center" wrapText="1"/>
    </xf>
    <xf numFmtId="14" fontId="45" fillId="0" borderId="0" xfId="0" applyNumberFormat="1" applyFont="1" applyAlignment="1">
      <alignment horizontal="center" vertical="center" wrapText="1"/>
    </xf>
    <xf numFmtId="3" fontId="47" fillId="0" borderId="9" xfId="0" applyNumberFormat="1" applyFont="1" applyFill="1" applyBorder="1" applyAlignment="1" applyProtection="1">
      <alignment vertical="center"/>
      <protection locked="0"/>
    </xf>
    <xf numFmtId="43" fontId="45" fillId="0" borderId="0" xfId="10" applyNumberFormat="1" applyFont="1" applyAlignment="1">
      <alignment horizontal="center" vertical="center" wrapText="1"/>
    </xf>
    <xf numFmtId="170" fontId="45" fillId="0" borderId="0" xfId="10" applyNumberFormat="1" applyFont="1" applyAlignment="1">
      <alignment horizontal="center" vertical="center" wrapText="1"/>
    </xf>
    <xf numFmtId="14" fontId="48" fillId="0" borderId="25" xfId="0" applyNumberFormat="1" applyFont="1" applyBorder="1" applyAlignment="1">
      <alignment horizontal="center" vertical="center"/>
    </xf>
    <xf numFmtId="0" fontId="46" fillId="0" borderId="0" xfId="0" applyFont="1" applyAlignment="1">
      <alignment horizontal="center" vertical="center" wrapText="1"/>
    </xf>
    <xf numFmtId="0" fontId="46" fillId="2" borderId="95" xfId="0" applyFont="1" applyFill="1" applyBorder="1" applyAlignment="1">
      <alignment horizontal="center" vertical="center" wrapText="1"/>
    </xf>
    <xf numFmtId="0" fontId="46" fillId="2" borderId="83" xfId="0" applyFont="1" applyFill="1" applyBorder="1" applyAlignment="1">
      <alignment horizontal="center" vertical="center" wrapText="1"/>
    </xf>
    <xf numFmtId="0" fontId="46" fillId="2" borderId="96" xfId="0" applyFont="1" applyFill="1" applyBorder="1" applyAlignment="1">
      <alignment horizontal="center" vertical="center" wrapText="1"/>
    </xf>
    <xf numFmtId="0" fontId="46" fillId="13" borderId="95" xfId="0" applyFont="1" applyFill="1" applyBorder="1" applyAlignment="1">
      <alignment horizontal="center" vertical="center" wrapText="1"/>
    </xf>
    <xf numFmtId="0" fontId="46" fillId="13" borderId="83" xfId="0" applyFont="1" applyFill="1" applyBorder="1" applyAlignment="1">
      <alignment horizontal="center" vertical="center" wrapText="1"/>
    </xf>
    <xf numFmtId="0" fontId="46" fillId="21" borderId="95" xfId="0" applyFont="1" applyFill="1" applyBorder="1" applyAlignment="1">
      <alignment horizontal="center" vertical="center" wrapText="1"/>
    </xf>
    <xf numFmtId="0" fontId="46" fillId="21" borderId="83" xfId="0" applyFont="1" applyFill="1" applyBorder="1" applyAlignment="1">
      <alignment horizontal="center" vertical="center" wrapText="1"/>
    </xf>
    <xf numFmtId="0" fontId="46" fillId="21" borderId="96" xfId="0" applyFont="1" applyFill="1" applyBorder="1" applyAlignment="1">
      <alignment horizontal="center" vertical="center" wrapText="1"/>
    </xf>
    <xf numFmtId="171" fontId="46" fillId="0" borderId="2" xfId="2" applyNumberFormat="1" applyFont="1" applyBorder="1" applyAlignment="1">
      <alignment horizontal="center" vertical="center" wrapText="1"/>
    </xf>
    <xf numFmtId="171" fontId="46" fillId="0" borderId="0" xfId="2" applyNumberFormat="1" applyFont="1" applyBorder="1" applyAlignment="1">
      <alignment horizontal="center" vertical="center" wrapText="1"/>
    </xf>
    <xf numFmtId="171" fontId="46" fillId="0" borderId="97" xfId="2" applyNumberFormat="1" applyFont="1" applyBorder="1" applyAlignment="1">
      <alignment horizontal="center" vertical="center" wrapText="1"/>
    </xf>
    <xf numFmtId="10" fontId="46" fillId="0" borderId="2" xfId="2" applyNumberFormat="1" applyFont="1" applyBorder="1" applyAlignment="1">
      <alignment horizontal="center" vertical="center" wrapText="1"/>
    </xf>
    <xf numFmtId="10" fontId="46" fillId="0" borderId="0" xfId="2" applyNumberFormat="1" applyFont="1" applyBorder="1" applyAlignment="1">
      <alignment horizontal="center" vertical="center" wrapText="1"/>
    </xf>
    <xf numFmtId="10" fontId="46" fillId="0" borderId="97" xfId="2" applyNumberFormat="1" applyFont="1" applyBorder="1" applyAlignment="1">
      <alignment horizontal="center" vertical="center" wrapText="1"/>
    </xf>
    <xf numFmtId="170" fontId="45" fillId="7" borderId="0" xfId="10" applyNumberFormat="1" applyFont="1" applyFill="1" applyAlignment="1">
      <alignment horizontal="center" vertical="center" wrapText="1"/>
    </xf>
    <xf numFmtId="0" fontId="45" fillId="0" borderId="0" xfId="0" applyFont="1" applyAlignment="1">
      <alignment horizontal="left" vertical="center" wrapText="1"/>
    </xf>
    <xf numFmtId="170" fontId="45" fillId="0" borderId="2" xfId="10" applyNumberFormat="1" applyFont="1" applyBorder="1" applyAlignment="1">
      <alignment horizontal="center" vertical="center" wrapText="1"/>
    </xf>
    <xf numFmtId="170" fontId="45" fillId="16" borderId="0" xfId="10" applyNumberFormat="1" applyFont="1" applyFill="1" applyBorder="1" applyAlignment="1">
      <alignment horizontal="center" vertical="center" wrapText="1"/>
    </xf>
    <xf numFmtId="170" fontId="45" fillId="16" borderId="97" xfId="10" applyNumberFormat="1" applyFont="1" applyFill="1" applyBorder="1" applyAlignment="1">
      <alignment horizontal="center" vertical="center" wrapText="1"/>
    </xf>
    <xf numFmtId="170" fontId="45" fillId="0" borderId="0" xfId="10" applyNumberFormat="1" applyFont="1" applyBorder="1" applyAlignment="1">
      <alignment horizontal="center" vertical="center" wrapText="1"/>
    </xf>
    <xf numFmtId="170" fontId="45" fillId="0" borderId="97" xfId="10" applyNumberFormat="1" applyFont="1" applyBorder="1" applyAlignment="1">
      <alignment horizontal="center" vertical="center" wrapText="1"/>
    </xf>
    <xf numFmtId="169" fontId="46" fillId="0" borderId="2" xfId="2" applyNumberFormat="1" applyFont="1" applyBorder="1" applyAlignment="1">
      <alignment horizontal="center" vertical="center" wrapText="1"/>
    </xf>
    <xf numFmtId="169" fontId="46" fillId="0" borderId="0" xfId="2" applyNumberFormat="1" applyFont="1" applyBorder="1" applyAlignment="1">
      <alignment horizontal="center" vertical="center" wrapText="1"/>
    </xf>
    <xf numFmtId="169" fontId="46" fillId="0" borderId="97" xfId="2" applyNumberFormat="1" applyFont="1" applyBorder="1" applyAlignment="1">
      <alignment horizontal="center" vertical="center" wrapText="1"/>
    </xf>
    <xf numFmtId="9" fontId="45" fillId="0" borderId="0" xfId="0" applyNumberFormat="1" applyFont="1" applyAlignment="1">
      <alignment horizontal="center" vertical="center" wrapText="1"/>
    </xf>
    <xf numFmtId="0" fontId="45" fillId="0" borderId="2" xfId="0" applyFont="1" applyBorder="1" applyAlignment="1">
      <alignment horizontal="center" vertical="center" wrapText="1"/>
    </xf>
    <xf numFmtId="0" fontId="45" fillId="0" borderId="0" xfId="0" applyFont="1" applyBorder="1" applyAlignment="1">
      <alignment horizontal="center" vertical="center" wrapText="1"/>
    </xf>
    <xf numFmtId="0" fontId="45" fillId="0" borderId="97" xfId="0" applyFont="1" applyBorder="1" applyAlignment="1">
      <alignment horizontal="center" vertical="center" wrapText="1"/>
    </xf>
    <xf numFmtId="170" fontId="46" fillId="0" borderId="2" xfId="10" applyNumberFormat="1" applyFont="1" applyBorder="1" applyAlignment="1">
      <alignment horizontal="center" vertical="center" wrapText="1"/>
    </xf>
    <xf numFmtId="170" fontId="46" fillId="0" borderId="0" xfId="10" applyNumberFormat="1" applyFont="1" applyBorder="1" applyAlignment="1">
      <alignment horizontal="center" vertical="center" wrapText="1"/>
    </xf>
    <xf numFmtId="170" fontId="46" fillId="0" borderId="97" xfId="10" applyNumberFormat="1" applyFont="1" applyBorder="1" applyAlignment="1">
      <alignment horizontal="center" vertical="center" wrapText="1"/>
    </xf>
    <xf numFmtId="170" fontId="45" fillId="7" borderId="0" xfId="0" applyNumberFormat="1" applyFont="1" applyFill="1" applyAlignment="1">
      <alignment horizontal="center" vertical="center" wrapText="1"/>
    </xf>
    <xf numFmtId="0" fontId="45" fillId="0" borderId="0" xfId="0" applyFont="1" applyAlignment="1">
      <alignment horizontal="left" vertical="center"/>
    </xf>
    <xf numFmtId="170" fontId="45" fillId="0" borderId="52" xfId="10" applyNumberFormat="1" applyFont="1" applyBorder="1" applyAlignment="1">
      <alignment horizontal="center" vertical="center" wrapText="1"/>
    </xf>
    <xf numFmtId="170" fontId="45" fillId="16" borderId="94" xfId="10" applyNumberFormat="1" applyFont="1" applyFill="1" applyBorder="1" applyAlignment="1">
      <alignment horizontal="center" vertical="center" wrapText="1"/>
    </xf>
    <xf numFmtId="170" fontId="45" fillId="16" borderId="54" xfId="10" applyNumberFormat="1" applyFont="1" applyFill="1" applyBorder="1" applyAlignment="1">
      <alignment horizontal="center" vertical="center" wrapText="1"/>
    </xf>
    <xf numFmtId="170" fontId="45" fillId="0" borderId="94" xfId="10" applyNumberFormat="1" applyFont="1" applyBorder="1" applyAlignment="1">
      <alignment horizontal="center" vertical="center" wrapText="1"/>
    </xf>
    <xf numFmtId="170" fontId="45" fillId="0" borderId="54" xfId="10" applyNumberFormat="1" applyFont="1" applyBorder="1" applyAlignment="1">
      <alignment horizontal="center" vertical="center" wrapText="1"/>
    </xf>
    <xf numFmtId="170" fontId="45" fillId="0" borderId="0" xfId="0" applyNumberFormat="1" applyFont="1" applyFill="1" applyAlignment="1">
      <alignment horizontal="center" vertical="center" wrapText="1"/>
    </xf>
    <xf numFmtId="170" fontId="45" fillId="16" borderId="0" xfId="10" applyNumberFormat="1" applyFont="1" applyFill="1" applyAlignment="1">
      <alignment horizontal="center" vertical="center" wrapText="1"/>
    </xf>
    <xf numFmtId="170" fontId="45" fillId="16" borderId="0" xfId="0" applyNumberFormat="1" applyFont="1" applyFill="1" applyAlignment="1">
      <alignment horizontal="center" vertical="center" wrapText="1"/>
    </xf>
    <xf numFmtId="170" fontId="45" fillId="0" borderId="0" xfId="0" applyNumberFormat="1" applyFont="1" applyAlignment="1">
      <alignment horizontal="center" vertical="center" wrapText="1"/>
    </xf>
    <xf numFmtId="0" fontId="46" fillId="0" borderId="0" xfId="0" applyFont="1" applyAlignment="1">
      <alignment horizontal="left" vertical="center" wrapText="1"/>
    </xf>
    <xf numFmtId="10" fontId="46" fillId="0" borderId="0" xfId="2" applyNumberFormat="1" applyFont="1" applyAlignment="1">
      <alignment horizontal="center" vertical="center" wrapText="1"/>
    </xf>
    <xf numFmtId="171" fontId="46" fillId="0" borderId="0" xfId="2" applyNumberFormat="1" applyFont="1" applyAlignment="1">
      <alignment horizontal="center" vertical="center" wrapText="1"/>
    </xf>
    <xf numFmtId="165" fontId="45" fillId="16" borderId="0" xfId="1" applyNumberFormat="1" applyFont="1" applyFill="1" applyAlignment="1">
      <alignment horizontal="center" vertical="center" wrapText="1"/>
    </xf>
    <xf numFmtId="174" fontId="45" fillId="0" borderId="0" xfId="0" applyNumberFormat="1" applyFont="1" applyAlignment="1">
      <alignment horizontal="center" vertical="center" wrapText="1"/>
    </xf>
    <xf numFmtId="169" fontId="3" fillId="5" borderId="9" xfId="2" applyNumberFormat="1" applyFont="1" applyFill="1" applyBorder="1" applyAlignment="1" applyProtection="1">
      <alignment horizontal="center" vertical="center"/>
    </xf>
    <xf numFmtId="10" fontId="45" fillId="0" borderId="0" xfId="2" applyNumberFormat="1" applyFont="1" applyAlignment="1">
      <alignment horizontal="center" vertical="center" wrapText="1"/>
    </xf>
    <xf numFmtId="165" fontId="20" fillId="5" borderId="0" xfId="1" applyNumberFormat="1" applyFont="1" applyFill="1" applyAlignment="1" applyProtection="1">
      <alignment horizontal="left"/>
      <protection locked="0"/>
    </xf>
    <xf numFmtId="9" fontId="20" fillId="0" borderId="0" xfId="2" applyNumberFormat="1" applyFont="1" applyAlignment="1">
      <alignment horizontal="center"/>
    </xf>
    <xf numFmtId="3" fontId="6" fillId="3" borderId="2" xfId="3" applyNumberFormat="1" applyFont="1" applyFill="1" applyBorder="1" applyAlignment="1" applyProtection="1">
      <alignment horizontal="center" vertical="center"/>
      <protection locked="0"/>
    </xf>
    <xf numFmtId="3" fontId="8" fillId="5" borderId="37" xfId="3" applyNumberFormat="1" applyFont="1" applyFill="1" applyBorder="1" applyAlignment="1" applyProtection="1">
      <alignment vertical="center"/>
    </xf>
    <xf numFmtId="3" fontId="8" fillId="5" borderId="37" xfId="3" applyNumberFormat="1" applyFont="1" applyFill="1" applyBorder="1" applyAlignment="1" applyProtection="1">
      <alignment horizontal="center" vertical="center"/>
    </xf>
    <xf numFmtId="3" fontId="8" fillId="5" borderId="38" xfId="3" applyNumberFormat="1" applyFont="1" applyFill="1" applyBorder="1" applyAlignment="1" applyProtection="1">
      <alignment horizontal="center" vertical="center"/>
    </xf>
    <xf numFmtId="0" fontId="3" fillId="5" borderId="0" xfId="3" applyFont="1" applyFill="1" applyBorder="1" applyAlignment="1" applyProtection="1">
      <alignment horizontal="right"/>
      <protection locked="0"/>
    </xf>
    <xf numFmtId="0" fontId="42" fillId="7" borderId="0" xfId="3" applyFont="1" applyFill="1" applyBorder="1" applyAlignment="1" applyProtection="1">
      <alignment horizontal="left"/>
      <protection locked="0"/>
    </xf>
    <xf numFmtId="0" fontId="46" fillId="0" borderId="9" xfId="0" applyFont="1" applyBorder="1" applyAlignment="1">
      <alignment horizontal="center" vertical="center" wrapText="1"/>
    </xf>
    <xf numFmtId="0" fontId="23" fillId="5" borderId="9" xfId="0" applyFont="1" applyFill="1" applyBorder="1" applyAlignment="1">
      <alignment vertical="center" wrapText="1"/>
    </xf>
    <xf numFmtId="0" fontId="20" fillId="5" borderId="8" xfId="0" applyFont="1" applyFill="1" applyBorder="1" applyAlignment="1">
      <alignment horizontal="center" vertical="center"/>
    </xf>
    <xf numFmtId="0" fontId="20" fillId="5" borderId="10" xfId="0" applyFont="1" applyFill="1" applyBorder="1" applyAlignment="1">
      <alignment horizontal="center" vertical="center"/>
    </xf>
    <xf numFmtId="164" fontId="23" fillId="0" borderId="0" xfId="1" applyFont="1" applyBorder="1"/>
    <xf numFmtId="0" fontId="13" fillId="5" borderId="55" xfId="4" applyFont="1" applyFill="1" applyBorder="1" applyAlignment="1">
      <alignment horizontal="center" vertical="center"/>
    </xf>
    <xf numFmtId="0" fontId="13" fillId="5" borderId="23" xfId="4" applyFont="1" applyFill="1" applyBorder="1" applyAlignment="1">
      <alignment horizontal="left" vertical="center" wrapText="1"/>
    </xf>
    <xf numFmtId="0" fontId="13" fillId="5" borderId="10" xfId="4" applyFont="1" applyFill="1" applyBorder="1" applyAlignment="1">
      <alignment horizontal="left" vertical="center" wrapText="1"/>
    </xf>
    <xf numFmtId="165" fontId="23" fillId="22" borderId="9" xfId="1" applyNumberFormat="1" applyFont="1" applyFill="1" applyBorder="1" applyAlignment="1">
      <alignment horizontal="center" vertical="center"/>
    </xf>
    <xf numFmtId="9" fontId="13" fillId="5" borderId="9" xfId="2" applyFont="1" applyFill="1" applyBorder="1" applyAlignment="1">
      <alignment horizontal="right" vertical="center"/>
    </xf>
    <xf numFmtId="9" fontId="13" fillId="5" borderId="9" xfId="0" applyNumberFormat="1" applyFont="1" applyFill="1" applyBorder="1" applyAlignment="1">
      <alignment horizontal="right" vertical="center"/>
    </xf>
    <xf numFmtId="9" fontId="20" fillId="5" borderId="9" xfId="2" applyFont="1" applyFill="1" applyBorder="1" applyAlignment="1">
      <alignment horizontal="right" vertical="center"/>
    </xf>
    <xf numFmtId="0" fontId="20" fillId="5" borderId="9" xfId="0" applyFont="1" applyFill="1" applyBorder="1" applyAlignment="1">
      <alignment horizontal="right" vertical="center"/>
    </xf>
    <xf numFmtId="9" fontId="20" fillId="5" borderId="9" xfId="0" applyNumberFormat="1" applyFont="1" applyFill="1" applyBorder="1" applyAlignment="1">
      <alignment horizontal="right" vertical="center"/>
    </xf>
    <xf numFmtId="169" fontId="13" fillId="5" borderId="90" xfId="3" applyNumberFormat="1" applyFont="1" applyFill="1" applyBorder="1" applyAlignment="1" applyProtection="1">
      <alignment horizontal="center" vertical="center"/>
      <protection locked="0"/>
    </xf>
    <xf numFmtId="0" fontId="20" fillId="5" borderId="9" xfId="0" applyFont="1" applyFill="1" applyBorder="1" applyAlignment="1">
      <alignment horizontal="center" vertical="center"/>
    </xf>
    <xf numFmtId="0" fontId="20" fillId="5" borderId="9" xfId="0" quotePrefix="1" applyFont="1" applyFill="1" applyBorder="1" applyAlignment="1">
      <alignment horizontal="center" vertical="center" wrapText="1"/>
    </xf>
    <xf numFmtId="0" fontId="44" fillId="0" borderId="94" xfId="0" applyFont="1" applyBorder="1" applyAlignment="1">
      <alignment horizontal="center" vertical="center" wrapText="1"/>
    </xf>
    <xf numFmtId="164" fontId="13" fillId="5" borderId="0" xfId="4" applyNumberFormat="1" applyFont="1" applyFill="1"/>
    <xf numFmtId="1" fontId="15" fillId="12" borderId="67" xfId="0" applyNumberFormat="1" applyFont="1" applyFill="1" applyBorder="1" applyAlignment="1" applyProtection="1">
      <alignment horizontal="center" vertical="center"/>
    </xf>
    <xf numFmtId="0" fontId="3" fillId="5" borderId="14" xfId="3" applyFont="1" applyFill="1" applyBorder="1" applyAlignment="1" applyProtection="1">
      <alignment horizontal="center" vertical="center"/>
      <protection locked="0"/>
    </xf>
    <xf numFmtId="170" fontId="49" fillId="7" borderId="94" xfId="10" applyNumberFormat="1" applyFont="1" applyFill="1" applyBorder="1" applyAlignment="1">
      <alignment horizontal="right" vertical="center" wrapText="1"/>
    </xf>
    <xf numFmtId="0" fontId="49" fillId="7" borderId="94" xfId="0" applyFont="1" applyFill="1" applyBorder="1" applyAlignment="1">
      <alignment horizontal="center" vertical="center" wrapText="1"/>
    </xf>
    <xf numFmtId="4" fontId="49" fillId="0" borderId="94" xfId="0" applyNumberFormat="1" applyFont="1" applyBorder="1" applyAlignment="1">
      <alignment horizontal="center" vertical="center" wrapText="1"/>
    </xf>
    <xf numFmtId="4" fontId="49" fillId="7" borderId="94" xfId="0" applyNumberFormat="1" applyFont="1" applyFill="1" applyBorder="1" applyAlignment="1">
      <alignment horizontal="center" vertical="center" wrapText="1"/>
    </xf>
    <xf numFmtId="3" fontId="44" fillId="0" borderId="0" xfId="0" applyNumberFormat="1" applyFont="1" applyAlignment="1">
      <alignment horizontal="center" vertical="center" wrapText="1"/>
    </xf>
    <xf numFmtId="3" fontId="15" fillId="12" borderId="86" xfId="3" applyNumberFormat="1" applyFont="1" applyFill="1" applyBorder="1" applyAlignment="1" applyProtection="1">
      <alignment horizontal="center" vertical="center" wrapText="1"/>
    </xf>
    <xf numFmtId="3" fontId="15" fillId="12" borderId="87" xfId="3" applyNumberFormat="1" applyFont="1" applyFill="1" applyBorder="1" applyAlignment="1" applyProtection="1">
      <alignment horizontal="center" vertical="center" wrapText="1"/>
    </xf>
    <xf numFmtId="3" fontId="15" fillId="12" borderId="88" xfId="3" applyNumberFormat="1" applyFont="1" applyFill="1" applyBorder="1" applyAlignment="1" applyProtection="1">
      <alignment horizontal="center" vertical="center" wrapText="1"/>
    </xf>
    <xf numFmtId="165" fontId="23" fillId="0" borderId="0" xfId="1" applyNumberFormat="1" applyFont="1" applyFill="1" applyBorder="1"/>
    <xf numFmtId="164" fontId="23" fillId="0" borderId="0" xfId="1" applyFont="1" applyFill="1" applyBorder="1"/>
    <xf numFmtId="9" fontId="20" fillId="5" borderId="9" xfId="0" applyNumberFormat="1" applyFont="1" applyFill="1" applyBorder="1" applyAlignment="1">
      <alignment vertical="center"/>
    </xf>
    <xf numFmtId="9" fontId="3" fillId="5" borderId="9" xfId="2" applyFont="1" applyFill="1" applyBorder="1" applyAlignment="1">
      <alignment horizontal="center" vertical="center" wrapText="1"/>
    </xf>
    <xf numFmtId="0" fontId="20" fillId="5" borderId="9" xfId="0" applyFont="1" applyFill="1" applyBorder="1" applyAlignment="1">
      <alignment horizontal="center" vertical="center"/>
    </xf>
    <xf numFmtId="0" fontId="20" fillId="2" borderId="9" xfId="0" applyFont="1" applyFill="1" applyBorder="1" applyAlignment="1">
      <alignment horizontal="center" vertical="center" wrapText="1"/>
    </xf>
    <xf numFmtId="0" fontId="20" fillId="2" borderId="9" xfId="0" applyFont="1" applyFill="1" applyBorder="1" applyAlignment="1">
      <alignment horizontal="center" vertical="center" wrapText="1"/>
    </xf>
    <xf numFmtId="0" fontId="20" fillId="0" borderId="8" xfId="0" applyFont="1" applyFill="1" applyBorder="1" applyAlignment="1">
      <alignment horizontal="center" vertical="center"/>
    </xf>
    <xf numFmtId="0" fontId="20" fillId="0" borderId="10" xfId="0" applyFont="1" applyFill="1" applyBorder="1" applyAlignment="1">
      <alignment horizontal="center" vertical="center"/>
    </xf>
    <xf numFmtId="0" fontId="15" fillId="0" borderId="56" xfId="4" applyFont="1" applyFill="1" applyBorder="1" applyAlignment="1">
      <alignment horizontal="center" vertical="center"/>
    </xf>
    <xf numFmtId="0" fontId="13" fillId="0" borderId="27" xfId="4" applyFont="1" applyFill="1" applyBorder="1" applyAlignment="1">
      <alignment vertical="center" wrapText="1"/>
    </xf>
    <xf numFmtId="0" fontId="13" fillId="0" borderId="14" xfId="4" applyFont="1" applyFill="1" applyBorder="1" applyAlignment="1">
      <alignment vertical="center"/>
    </xf>
    <xf numFmtId="0" fontId="2" fillId="0" borderId="8" xfId="4" applyFont="1" applyFill="1" applyBorder="1" applyAlignment="1">
      <alignment horizontal="center" vertical="center"/>
    </xf>
    <xf numFmtId="0" fontId="11" fillId="0" borderId="3" xfId="4" applyFont="1" applyFill="1" applyBorder="1" applyAlignment="1">
      <alignment horizontal="center" vertical="center"/>
    </xf>
    <xf numFmtId="0" fontId="2" fillId="0" borderId="5" xfId="4" applyFont="1" applyFill="1" applyBorder="1" applyAlignment="1">
      <alignment horizontal="center" vertical="center"/>
    </xf>
    <xf numFmtId="3" fontId="23" fillId="0" borderId="36" xfId="3" applyNumberFormat="1" applyFont="1" applyFill="1" applyBorder="1" applyAlignment="1" applyProtection="1">
      <alignment horizontal="center" vertical="center"/>
    </xf>
    <xf numFmtId="3" fontId="13" fillId="0" borderId="37" xfId="3" applyNumberFormat="1" applyFont="1" applyFill="1" applyBorder="1" applyAlignment="1" applyProtection="1">
      <alignment vertical="center" wrapText="1"/>
      <protection locked="0"/>
    </xf>
    <xf numFmtId="3" fontId="13" fillId="0" borderId="52" xfId="3" applyNumberFormat="1" applyFont="1" applyFill="1" applyBorder="1" applyAlignment="1" applyProtection="1">
      <alignment horizontal="left" vertical="center"/>
      <protection locked="0"/>
    </xf>
    <xf numFmtId="0" fontId="20" fillId="0" borderId="9" xfId="0" applyFont="1" applyFill="1" applyBorder="1" applyAlignment="1">
      <alignment horizontal="center" vertical="center"/>
    </xf>
    <xf numFmtId="0" fontId="23" fillId="0" borderId="9" xfId="0" applyFont="1" applyFill="1" applyBorder="1" applyAlignment="1">
      <alignment vertical="center" wrapText="1"/>
    </xf>
    <xf numFmtId="173" fontId="23" fillId="0" borderId="0" xfId="2" applyNumberFormat="1" applyFont="1" applyBorder="1"/>
    <xf numFmtId="0" fontId="11" fillId="0" borderId="12" xfId="4" applyFont="1" applyFill="1" applyBorder="1" applyAlignment="1">
      <alignment horizontal="center" vertical="center"/>
    </xf>
    <xf numFmtId="0" fontId="2" fillId="0" borderId="14" xfId="4" applyFont="1" applyFill="1" applyBorder="1" applyAlignment="1">
      <alignment horizontal="center" vertical="center"/>
    </xf>
    <xf numFmtId="0" fontId="11" fillId="6" borderId="8" xfId="4" applyFont="1" applyFill="1" applyBorder="1" applyAlignment="1">
      <alignment horizontal="center" vertical="center"/>
    </xf>
    <xf numFmtId="0" fontId="2" fillId="6" borderId="10" xfId="4" applyFont="1" applyFill="1" applyBorder="1" applyAlignment="1">
      <alignment horizontal="center" vertical="center"/>
    </xf>
    <xf numFmtId="0" fontId="13" fillId="0" borderId="56" xfId="4" applyFont="1" applyFill="1" applyBorder="1" applyAlignment="1">
      <alignment horizontal="center" vertical="center"/>
    </xf>
    <xf numFmtId="0" fontId="13" fillId="0" borderId="27" xfId="4" applyFont="1" applyFill="1" applyBorder="1" applyAlignment="1">
      <alignment horizontal="left" vertical="center" wrapText="1"/>
    </xf>
    <xf numFmtId="0" fontId="13" fillId="0" borderId="14" xfId="4" applyFont="1" applyFill="1" applyBorder="1" applyAlignment="1">
      <alignment horizontal="left" vertical="center" wrapText="1"/>
    </xf>
    <xf numFmtId="0" fontId="13" fillId="6" borderId="53" xfId="4" applyFont="1" applyFill="1" applyBorder="1" applyAlignment="1">
      <alignment horizontal="center" vertical="center"/>
    </xf>
    <xf numFmtId="0" fontId="13" fillId="6" borderId="54" xfId="4" applyFont="1" applyFill="1" applyBorder="1" applyAlignment="1">
      <alignment horizontal="left" vertical="center" wrapText="1"/>
    </xf>
    <xf numFmtId="0" fontId="13" fillId="6" borderId="38" xfId="4" applyFont="1" applyFill="1" applyBorder="1" applyAlignment="1">
      <alignment horizontal="left" vertical="center" wrapText="1"/>
    </xf>
    <xf numFmtId="0" fontId="15" fillId="0" borderId="53" xfId="4" applyFont="1" applyFill="1" applyBorder="1" applyAlignment="1">
      <alignment horizontal="center" vertical="center"/>
    </xf>
    <xf numFmtId="0" fontId="13" fillId="0" borderId="54" xfId="4" applyFont="1" applyFill="1" applyBorder="1" applyAlignment="1">
      <alignment vertical="center" wrapText="1"/>
    </xf>
    <xf numFmtId="0" fontId="13" fillId="0" borderId="38" xfId="4" applyFont="1" applyFill="1" applyBorder="1" applyAlignment="1">
      <alignment vertical="center"/>
    </xf>
    <xf numFmtId="0" fontId="15" fillId="6" borderId="55" xfId="4" applyFont="1" applyFill="1" applyBorder="1" applyAlignment="1">
      <alignment horizontal="center" vertical="center"/>
    </xf>
    <xf numFmtId="0" fontId="13" fillId="6" borderId="23" xfId="4" applyFont="1" applyFill="1" applyBorder="1" applyAlignment="1">
      <alignment vertical="center" wrapText="1"/>
    </xf>
    <xf numFmtId="0" fontId="13" fillId="6" borderId="10" xfId="4" applyFont="1" applyFill="1" applyBorder="1" applyAlignment="1">
      <alignment vertical="center"/>
    </xf>
    <xf numFmtId="0" fontId="20" fillId="0" borderId="9" xfId="0" applyFont="1" applyBorder="1" applyAlignment="1">
      <alignment horizontal="center" vertical="center" wrapText="1"/>
    </xf>
    <xf numFmtId="9" fontId="20" fillId="0" borderId="9" xfId="2" applyFont="1" applyFill="1" applyBorder="1" applyAlignment="1">
      <alignment horizontal="center"/>
    </xf>
    <xf numFmtId="0" fontId="11" fillId="2" borderId="42" xfId="0" applyFont="1" applyFill="1" applyBorder="1" applyAlignment="1">
      <alignment horizontal="center" vertical="center" wrapText="1"/>
    </xf>
    <xf numFmtId="0" fontId="11" fillId="2" borderId="43" xfId="0" applyFont="1" applyFill="1" applyBorder="1" applyAlignment="1">
      <alignment horizontal="center" vertical="center" wrapText="1"/>
    </xf>
    <xf numFmtId="3" fontId="9" fillId="4" borderId="34" xfId="3" applyNumberFormat="1" applyFont="1" applyFill="1" applyBorder="1" applyAlignment="1" applyProtection="1">
      <alignment horizontal="center" vertical="center"/>
    </xf>
    <xf numFmtId="3" fontId="9" fillId="4" borderId="17" xfId="3" applyNumberFormat="1" applyFont="1" applyFill="1" applyBorder="1" applyAlignment="1" applyProtection="1">
      <alignment horizontal="center" vertical="center"/>
    </xf>
    <xf numFmtId="3" fontId="9" fillId="4" borderId="35" xfId="3" applyNumberFormat="1" applyFont="1" applyFill="1" applyBorder="1" applyAlignment="1" applyProtection="1">
      <alignment horizontal="center" vertical="center"/>
    </xf>
    <xf numFmtId="0" fontId="11" fillId="2" borderId="39" xfId="0" applyFont="1" applyFill="1" applyBorder="1" applyAlignment="1">
      <alignment horizontal="center"/>
    </xf>
    <xf numFmtId="0" fontId="11" fillId="2" borderId="31" xfId="0" applyFont="1" applyFill="1" applyBorder="1" applyAlignment="1">
      <alignment horizontal="center"/>
    </xf>
    <xf numFmtId="0" fontId="11" fillId="2" borderId="21" xfId="0" applyFont="1" applyFill="1" applyBorder="1" applyAlignment="1">
      <alignment horizontal="center"/>
    </xf>
    <xf numFmtId="0" fontId="11" fillId="2" borderId="39" xfId="0" applyFont="1" applyFill="1" applyBorder="1" applyAlignment="1">
      <alignment horizontal="center" vertical="center" wrapText="1"/>
    </xf>
    <xf numFmtId="0" fontId="11" fillId="2" borderId="21" xfId="0" applyFont="1" applyFill="1" applyBorder="1" applyAlignment="1">
      <alignment horizontal="center" vertical="center" wrapText="1"/>
    </xf>
    <xf numFmtId="0" fontId="11" fillId="2" borderId="28" xfId="4" applyFont="1" applyFill="1" applyBorder="1" applyAlignment="1">
      <alignment horizontal="center" vertical="center" wrapText="1"/>
    </xf>
    <xf numFmtId="0" fontId="11" fillId="2" borderId="6" xfId="4" applyFont="1" applyFill="1" applyBorder="1" applyAlignment="1">
      <alignment horizontal="center" vertical="center" wrapText="1"/>
    </xf>
    <xf numFmtId="0" fontId="11" fillId="2" borderId="7" xfId="4" applyFont="1" applyFill="1" applyBorder="1" applyAlignment="1">
      <alignment horizontal="center" vertical="center" wrapText="1"/>
    </xf>
    <xf numFmtId="0" fontId="11" fillId="2" borderId="29" xfId="4" applyFont="1" applyFill="1" applyBorder="1" applyAlignment="1">
      <alignment horizontal="center" vertical="center" wrapText="1"/>
    </xf>
    <xf numFmtId="0" fontId="11" fillId="2" borderId="15" xfId="4" applyFont="1" applyFill="1" applyBorder="1" applyAlignment="1">
      <alignment horizontal="center" vertical="center" wrapText="1"/>
    </xf>
    <xf numFmtId="0" fontId="11" fillId="2" borderId="16" xfId="4" applyFont="1" applyFill="1" applyBorder="1" applyAlignment="1">
      <alignment horizontal="center" vertical="center" wrapText="1"/>
    </xf>
    <xf numFmtId="0" fontId="2" fillId="0" borderId="19" xfId="4" applyFont="1" applyFill="1" applyBorder="1" applyAlignment="1">
      <alignment horizontal="center" vertical="center" wrapText="1"/>
    </xf>
    <xf numFmtId="0" fontId="2" fillId="0" borderId="31" xfId="4" applyFont="1" applyFill="1" applyBorder="1" applyAlignment="1">
      <alignment horizontal="center" vertical="center" wrapText="1"/>
    </xf>
    <xf numFmtId="0" fontId="2" fillId="0" borderId="20" xfId="4" applyFont="1" applyFill="1" applyBorder="1" applyAlignment="1">
      <alignment horizontal="center" vertical="center" wrapText="1"/>
    </xf>
    <xf numFmtId="0" fontId="2" fillId="6" borderId="22" xfId="4" applyFont="1" applyFill="1" applyBorder="1" applyAlignment="1">
      <alignment horizontal="center" vertical="center" wrapText="1"/>
    </xf>
    <xf numFmtId="0" fontId="2" fillId="6" borderId="32" xfId="4" applyFont="1" applyFill="1" applyBorder="1" applyAlignment="1">
      <alignment horizontal="center" vertical="center" wrapText="1"/>
    </xf>
    <xf numFmtId="0" fontId="2" fillId="6" borderId="23" xfId="4" applyFont="1" applyFill="1" applyBorder="1" applyAlignment="1">
      <alignment horizontal="center" vertical="center" wrapText="1"/>
    </xf>
    <xf numFmtId="0" fontId="11" fillId="6" borderId="39" xfId="0" applyFont="1" applyFill="1" applyBorder="1" applyAlignment="1">
      <alignment horizontal="center" vertical="center" wrapText="1"/>
    </xf>
    <xf numFmtId="0" fontId="11" fillId="6" borderId="21" xfId="0" applyFont="1" applyFill="1" applyBorder="1" applyAlignment="1">
      <alignment horizontal="center" vertical="center" wrapText="1"/>
    </xf>
    <xf numFmtId="0" fontId="2" fillId="0" borderId="26" xfId="4" applyFont="1" applyFill="1" applyBorder="1" applyAlignment="1">
      <alignment horizontal="center" vertical="center" wrapText="1"/>
    </xf>
    <xf numFmtId="0" fontId="2" fillId="0" borderId="33" xfId="4" applyFont="1" applyFill="1" applyBorder="1" applyAlignment="1">
      <alignment horizontal="center" vertical="center" wrapText="1"/>
    </xf>
    <xf numFmtId="0" fontId="2" fillId="0" borderId="27" xfId="4" applyFont="1" applyFill="1" applyBorder="1" applyAlignment="1">
      <alignment horizontal="center" vertical="center" wrapText="1"/>
    </xf>
    <xf numFmtId="0" fontId="2" fillId="0" borderId="22" xfId="4" applyFont="1" applyFill="1" applyBorder="1" applyAlignment="1">
      <alignment horizontal="center" vertical="center" wrapText="1"/>
    </xf>
    <xf numFmtId="0" fontId="2" fillId="0" borderId="23" xfId="4" applyFont="1" applyFill="1" applyBorder="1" applyAlignment="1">
      <alignment horizontal="center" vertical="center" wrapText="1"/>
    </xf>
    <xf numFmtId="0" fontId="2" fillId="0" borderId="22" xfId="4" applyFont="1" applyFill="1" applyBorder="1" applyAlignment="1">
      <alignment horizontal="center" vertical="center"/>
    </xf>
    <xf numFmtId="0" fontId="2" fillId="0" borderId="24" xfId="4" applyFont="1" applyFill="1" applyBorder="1" applyAlignment="1">
      <alignment horizontal="center" vertical="center"/>
    </xf>
    <xf numFmtId="0" fontId="2" fillId="6" borderId="22" xfId="4" applyFont="1" applyFill="1" applyBorder="1" applyAlignment="1">
      <alignment horizontal="center" vertical="center"/>
    </xf>
    <xf numFmtId="0" fontId="2" fillId="6" borderId="24" xfId="4" applyFont="1" applyFill="1" applyBorder="1" applyAlignment="1">
      <alignment horizontal="center" vertical="center"/>
    </xf>
    <xf numFmtId="3" fontId="7" fillId="4" borderId="34" xfId="3" quotePrefix="1" applyNumberFormat="1" applyFont="1" applyFill="1" applyBorder="1" applyAlignment="1" applyProtection="1">
      <alignment horizontal="center" vertical="center"/>
    </xf>
    <xf numFmtId="3" fontId="7" fillId="4" borderId="17" xfId="3" applyNumberFormat="1" applyFont="1" applyFill="1" applyBorder="1" applyAlignment="1" applyProtection="1">
      <alignment horizontal="center" vertical="center"/>
    </xf>
    <xf numFmtId="3" fontId="7" fillId="4" borderId="35" xfId="3" applyNumberFormat="1" applyFont="1" applyFill="1" applyBorder="1" applyAlignment="1" applyProtection="1">
      <alignment horizontal="center" vertical="center"/>
    </xf>
    <xf numFmtId="14" fontId="3" fillId="5" borderId="0" xfId="3" applyNumberFormat="1" applyFont="1" applyFill="1" applyBorder="1" applyAlignment="1" applyProtection="1">
      <alignment horizontal="left"/>
      <protection locked="0"/>
    </xf>
    <xf numFmtId="0" fontId="3" fillId="5" borderId="0" xfId="3" applyFont="1" applyFill="1" applyBorder="1" applyAlignment="1" applyProtection="1">
      <alignment horizontal="left"/>
      <protection locked="0"/>
    </xf>
    <xf numFmtId="0" fontId="2" fillId="0" borderId="19" xfId="4" applyFont="1" applyBorder="1" applyAlignment="1">
      <alignment horizontal="center" vertical="center"/>
    </xf>
    <xf numFmtId="0" fontId="2" fillId="0" borderId="20" xfId="4" applyFont="1" applyBorder="1" applyAlignment="1">
      <alignment horizontal="center" vertical="center"/>
    </xf>
    <xf numFmtId="0" fontId="2" fillId="0" borderId="21" xfId="4" applyFont="1" applyBorder="1" applyAlignment="1">
      <alignment horizontal="center" vertical="center"/>
    </xf>
    <xf numFmtId="0" fontId="2" fillId="0" borderId="22" xfId="4" applyFont="1" applyBorder="1" applyAlignment="1">
      <alignment horizontal="center" vertical="center" wrapText="1"/>
    </xf>
    <xf numFmtId="0" fontId="2" fillId="0" borderId="23" xfId="4" applyFont="1" applyBorder="1" applyAlignment="1">
      <alignment horizontal="center" vertical="center" wrapText="1"/>
    </xf>
    <xf numFmtId="0" fontId="2" fillId="0" borderId="22" xfId="4" applyFont="1" applyBorder="1" applyAlignment="1">
      <alignment horizontal="center" vertical="center"/>
    </xf>
    <xf numFmtId="0" fontId="2" fillId="0" borderId="24" xfId="4" applyFont="1" applyBorder="1" applyAlignment="1">
      <alignment horizontal="center" vertical="center"/>
    </xf>
    <xf numFmtId="0" fontId="2" fillId="5" borderId="22" xfId="4" applyFont="1" applyFill="1" applyBorder="1" applyAlignment="1">
      <alignment horizontal="center" vertical="center" wrapText="1"/>
    </xf>
    <xf numFmtId="0" fontId="2" fillId="5" borderId="23" xfId="4" applyFont="1" applyFill="1" applyBorder="1" applyAlignment="1">
      <alignment horizontal="center" vertical="center" wrapText="1"/>
    </xf>
    <xf numFmtId="0" fontId="2" fillId="5" borderId="22" xfId="4" applyFont="1" applyFill="1" applyBorder="1" applyAlignment="1">
      <alignment horizontal="center" vertical="center"/>
    </xf>
    <xf numFmtId="0" fontId="2" fillId="5" borderId="24" xfId="4" applyFont="1" applyFill="1" applyBorder="1" applyAlignment="1">
      <alignment horizontal="center" vertical="center"/>
    </xf>
    <xf numFmtId="0" fontId="7" fillId="7" borderId="44" xfId="4" applyFont="1" applyFill="1" applyBorder="1" applyAlignment="1">
      <alignment horizontal="center" vertical="center" wrapText="1"/>
    </xf>
    <xf numFmtId="0" fontId="7" fillId="7" borderId="45" xfId="4" applyFont="1" applyFill="1" applyBorder="1" applyAlignment="1">
      <alignment horizontal="center" vertical="center" wrapText="1"/>
    </xf>
    <xf numFmtId="0" fontId="7" fillId="7" borderId="46" xfId="4" applyFont="1" applyFill="1" applyBorder="1" applyAlignment="1">
      <alignment horizontal="center" vertical="center" wrapText="1"/>
    </xf>
    <xf numFmtId="0" fontId="7" fillId="8" borderId="34" xfId="4" applyFont="1" applyFill="1" applyBorder="1" applyAlignment="1">
      <alignment horizontal="center" vertical="center" wrapText="1"/>
    </xf>
    <xf numFmtId="0" fontId="7" fillId="8" borderId="17" xfId="4" applyFont="1" applyFill="1" applyBorder="1" applyAlignment="1">
      <alignment horizontal="center" vertical="center" wrapText="1"/>
    </xf>
    <xf numFmtId="0" fontId="7" fillId="8" borderId="35" xfId="4" applyFont="1" applyFill="1" applyBorder="1" applyAlignment="1">
      <alignment horizontal="center" vertical="center" wrapText="1"/>
    </xf>
    <xf numFmtId="3" fontId="14" fillId="0" borderId="47" xfId="4" applyNumberFormat="1" applyFont="1" applyBorder="1" applyAlignment="1">
      <alignment horizontal="center" vertical="center"/>
    </xf>
    <xf numFmtId="0" fontId="14" fillId="0" borderId="30" xfId="4" applyFont="1" applyBorder="1" applyAlignment="1">
      <alignment horizontal="center" vertical="center"/>
    </xf>
    <xf numFmtId="0" fontId="14" fillId="0" borderId="40" xfId="4" applyFont="1" applyBorder="1" applyAlignment="1">
      <alignment horizontal="center" vertical="center"/>
    </xf>
    <xf numFmtId="0" fontId="15" fillId="9" borderId="34" xfId="4" applyFont="1" applyFill="1" applyBorder="1" applyAlignment="1">
      <alignment horizontal="center" vertical="center" wrapText="1"/>
    </xf>
    <xf numFmtId="0" fontId="15" fillId="9" borderId="17" xfId="4" applyFont="1" applyFill="1" applyBorder="1" applyAlignment="1">
      <alignment horizontal="center" vertical="center" wrapText="1"/>
    </xf>
    <xf numFmtId="0" fontId="15" fillId="9" borderId="35" xfId="4" applyFont="1" applyFill="1" applyBorder="1" applyAlignment="1">
      <alignment horizontal="center" vertical="center" wrapText="1"/>
    </xf>
    <xf numFmtId="3" fontId="15" fillId="7" borderId="10" xfId="3" applyNumberFormat="1" applyFont="1" applyFill="1" applyBorder="1" applyAlignment="1" applyProtection="1">
      <alignment horizontal="center" vertical="center"/>
    </xf>
    <xf numFmtId="3" fontId="19" fillId="11" borderId="0" xfId="3" applyNumberFormat="1" applyFont="1" applyFill="1" applyBorder="1" applyAlignment="1" applyProtection="1">
      <alignment horizontal="center" vertical="center" wrapText="1"/>
    </xf>
    <xf numFmtId="3" fontId="15" fillId="12" borderId="58" xfId="3" applyNumberFormat="1" applyFont="1" applyFill="1" applyBorder="1" applyAlignment="1" applyProtection="1">
      <alignment horizontal="left" vertical="center"/>
    </xf>
    <xf numFmtId="3" fontId="15" fillId="12" borderId="59" xfId="3" applyNumberFormat="1" applyFont="1" applyFill="1" applyBorder="1" applyAlignment="1" applyProtection="1">
      <alignment horizontal="left" vertical="center"/>
    </xf>
    <xf numFmtId="3" fontId="15" fillId="12" borderId="60" xfId="3" applyNumberFormat="1" applyFont="1" applyFill="1" applyBorder="1" applyAlignment="1" applyProtection="1">
      <alignment horizontal="left" vertical="center"/>
    </xf>
    <xf numFmtId="0" fontId="21" fillId="2" borderId="34" xfId="0" applyFont="1" applyFill="1" applyBorder="1" applyAlignment="1" applyProtection="1">
      <alignment horizontal="center" vertical="center"/>
    </xf>
    <xf numFmtId="0" fontId="21" fillId="2" borderId="17" xfId="0" applyFont="1" applyFill="1" applyBorder="1" applyAlignment="1" applyProtection="1">
      <alignment horizontal="center" vertical="center"/>
    </xf>
    <xf numFmtId="0" fontId="21" fillId="2" borderId="35" xfId="0" applyFont="1" applyFill="1" applyBorder="1" applyAlignment="1" applyProtection="1">
      <alignment horizontal="center" vertical="center"/>
    </xf>
    <xf numFmtId="3" fontId="15" fillId="12" borderId="63" xfId="3" applyNumberFormat="1" applyFont="1" applyFill="1" applyBorder="1" applyAlignment="1" applyProtection="1">
      <alignment horizontal="left" vertical="center"/>
    </xf>
    <xf numFmtId="3" fontId="15" fillId="12" borderId="64" xfId="3" applyNumberFormat="1" applyFont="1" applyFill="1" applyBorder="1" applyAlignment="1" applyProtection="1">
      <alignment horizontal="left" vertical="center"/>
    </xf>
    <xf numFmtId="3" fontId="15" fillId="12" borderId="65" xfId="3" applyNumberFormat="1" applyFont="1" applyFill="1" applyBorder="1" applyAlignment="1" applyProtection="1">
      <alignment horizontal="left" vertical="center"/>
    </xf>
    <xf numFmtId="3" fontId="15" fillId="12" borderId="63" xfId="3" applyNumberFormat="1" applyFont="1" applyFill="1" applyBorder="1" applyAlignment="1" applyProtection="1">
      <alignment horizontal="left" vertical="center" wrapText="1"/>
    </xf>
    <xf numFmtId="3" fontId="15" fillId="12" borderId="64" xfId="3" applyNumberFormat="1" applyFont="1" applyFill="1" applyBorder="1" applyAlignment="1" applyProtection="1">
      <alignment horizontal="left" vertical="center" wrapText="1"/>
    </xf>
    <xf numFmtId="3" fontId="15" fillId="12" borderId="65" xfId="3" applyNumberFormat="1" applyFont="1" applyFill="1" applyBorder="1" applyAlignment="1" applyProtection="1">
      <alignment horizontal="left" vertical="center" wrapText="1"/>
    </xf>
    <xf numFmtId="3" fontId="15" fillId="12" borderId="78" xfId="3" applyNumberFormat="1" applyFont="1" applyFill="1" applyBorder="1" applyAlignment="1" applyProtection="1">
      <alignment horizontal="left" vertical="center" wrapText="1"/>
    </xf>
    <xf numFmtId="3" fontId="15" fillId="12" borderId="79" xfId="3" applyNumberFormat="1" applyFont="1" applyFill="1" applyBorder="1" applyAlignment="1" applyProtection="1">
      <alignment horizontal="left" vertical="center" wrapText="1"/>
    </xf>
    <xf numFmtId="3" fontId="15" fillId="12" borderId="80" xfId="3" applyNumberFormat="1" applyFont="1" applyFill="1" applyBorder="1" applyAlignment="1" applyProtection="1">
      <alignment horizontal="left" vertical="center" wrapText="1"/>
    </xf>
    <xf numFmtId="3" fontId="15" fillId="5" borderId="8" xfId="3" applyNumberFormat="1" applyFont="1" applyFill="1" applyBorder="1" applyAlignment="1" applyProtection="1">
      <alignment horizontal="center" vertical="center" wrapText="1"/>
      <protection locked="0"/>
    </xf>
    <xf numFmtId="3" fontId="15" fillId="12" borderId="9" xfId="3" applyNumberFormat="1" applyFont="1" applyFill="1" applyBorder="1" applyAlignment="1" applyProtection="1">
      <alignment horizontal="center" vertical="center" wrapText="1"/>
    </xf>
    <xf numFmtId="3" fontId="15" fillId="12" borderId="63" xfId="3" applyNumberFormat="1" applyFont="1" applyFill="1" applyBorder="1" applyAlignment="1" applyProtection="1">
      <alignment horizontal="center" vertical="center" wrapText="1"/>
    </xf>
    <xf numFmtId="3" fontId="15" fillId="12" borderId="64" xfId="3" applyNumberFormat="1" applyFont="1" applyFill="1" applyBorder="1" applyAlignment="1" applyProtection="1">
      <alignment horizontal="center" vertical="center" wrapText="1"/>
    </xf>
    <xf numFmtId="3" fontId="15" fillId="12" borderId="65" xfId="3" applyNumberFormat="1" applyFont="1" applyFill="1" applyBorder="1" applyAlignment="1" applyProtection="1">
      <alignment horizontal="center" vertical="center" wrapText="1"/>
    </xf>
    <xf numFmtId="0" fontId="20" fillId="5" borderId="9" xfId="0" applyFont="1" applyFill="1" applyBorder="1" applyAlignment="1">
      <alignment horizontal="center" vertical="center"/>
    </xf>
    <xf numFmtId="3" fontId="15" fillId="9" borderId="0" xfId="3" applyNumberFormat="1" applyFont="1" applyFill="1" applyBorder="1" applyAlignment="1" applyProtection="1">
      <alignment horizontal="center" vertical="center"/>
    </xf>
    <xf numFmtId="1" fontId="15" fillId="9" borderId="0" xfId="3" applyNumberFormat="1" applyFont="1" applyFill="1" applyBorder="1" applyAlignment="1" applyProtection="1">
      <alignment horizontal="left" wrapText="1"/>
    </xf>
    <xf numFmtId="3" fontId="15" fillId="9" borderId="0" xfId="3" applyNumberFormat="1" applyFont="1" applyFill="1" applyBorder="1" applyAlignment="1" applyProtection="1">
      <alignment horizontal="left" vertical="center"/>
    </xf>
    <xf numFmtId="3" fontId="15" fillId="12" borderId="86" xfId="3" applyNumberFormat="1" applyFont="1" applyFill="1" applyBorder="1" applyAlignment="1" applyProtection="1">
      <alignment horizontal="center" vertical="center" wrapText="1"/>
    </xf>
    <xf numFmtId="3" fontId="15" fillId="12" borderId="87" xfId="3" applyNumberFormat="1" applyFont="1" applyFill="1" applyBorder="1" applyAlignment="1" applyProtection="1">
      <alignment horizontal="center" vertical="center" wrapText="1"/>
    </xf>
    <xf numFmtId="3" fontId="15" fillId="12" borderId="88" xfId="3" applyNumberFormat="1" applyFont="1" applyFill="1" applyBorder="1" applyAlignment="1" applyProtection="1">
      <alignment horizontal="center" vertical="center" wrapText="1"/>
    </xf>
    <xf numFmtId="0" fontId="20" fillId="2" borderId="9" xfId="0" applyFont="1" applyFill="1" applyBorder="1" applyAlignment="1">
      <alignment horizontal="left" vertical="center" wrapText="1"/>
    </xf>
    <xf numFmtId="0" fontId="20" fillId="6" borderId="9" xfId="0" applyFont="1" applyFill="1" applyBorder="1" applyAlignment="1">
      <alignment horizontal="left" vertical="center" wrapText="1"/>
    </xf>
    <xf numFmtId="3" fontId="14" fillId="9" borderId="0" xfId="3" applyNumberFormat="1" applyFont="1" applyFill="1" applyBorder="1" applyAlignment="1" applyProtection="1">
      <alignment horizontal="center" vertical="center"/>
    </xf>
    <xf numFmtId="3" fontId="15" fillId="0" borderId="3" xfId="3" applyNumberFormat="1" applyFont="1" applyFill="1" applyBorder="1" applyAlignment="1" applyProtection="1">
      <alignment horizontal="right" vertical="center" wrapText="1"/>
      <protection locked="0"/>
    </xf>
    <xf numFmtId="3" fontId="15" fillId="0" borderId="4" xfId="3" applyNumberFormat="1" applyFont="1" applyFill="1" applyBorder="1" applyAlignment="1" applyProtection="1">
      <alignment horizontal="right" vertical="center" wrapText="1"/>
      <protection locked="0"/>
    </xf>
    <xf numFmtId="0" fontId="15" fillId="5" borderId="8" xfId="3" applyFont="1" applyFill="1" applyBorder="1" applyAlignment="1" applyProtection="1">
      <alignment horizontal="right" vertical="center"/>
      <protection locked="0"/>
    </xf>
    <xf numFmtId="0" fontId="15" fillId="5" borderId="9" xfId="3" applyFont="1" applyFill="1" applyBorder="1" applyAlignment="1" applyProtection="1">
      <alignment horizontal="right" vertical="center"/>
      <protection locked="0"/>
    </xf>
    <xf numFmtId="3" fontId="15" fillId="5" borderId="12" xfId="3" applyNumberFormat="1" applyFont="1" applyFill="1" applyBorder="1" applyAlignment="1" applyProtection="1">
      <alignment horizontal="right" vertical="center"/>
      <protection locked="0"/>
    </xf>
    <xf numFmtId="3" fontId="15" fillId="5" borderId="13" xfId="3" applyNumberFormat="1" applyFont="1" applyFill="1" applyBorder="1" applyAlignment="1" applyProtection="1">
      <alignment horizontal="right" vertical="center"/>
      <protection locked="0"/>
    </xf>
    <xf numFmtId="0" fontId="20" fillId="2" borderId="9" xfId="0" applyFont="1" applyFill="1" applyBorder="1" applyAlignment="1">
      <alignment horizontal="center" vertical="center" wrapText="1"/>
    </xf>
    <xf numFmtId="3" fontId="15" fillId="2" borderId="63" xfId="3" applyNumberFormat="1" applyFont="1" applyFill="1" applyBorder="1" applyAlignment="1" applyProtection="1">
      <alignment horizontal="center" vertical="center" wrapText="1"/>
    </xf>
    <xf numFmtId="3" fontId="15" fillId="2" borderId="65" xfId="3" applyNumberFormat="1" applyFont="1" applyFill="1" applyBorder="1" applyAlignment="1" applyProtection="1">
      <alignment horizontal="center" vertical="center" wrapText="1"/>
    </xf>
    <xf numFmtId="0" fontId="23" fillId="2" borderId="22" xfId="0" applyFont="1" applyFill="1" applyBorder="1" applyAlignment="1">
      <alignment horizontal="center"/>
    </xf>
    <xf numFmtId="0" fontId="23" fillId="2" borderId="32" xfId="0" applyFont="1" applyFill="1" applyBorder="1" applyAlignment="1">
      <alignment horizontal="center"/>
    </xf>
    <xf numFmtId="0" fontId="23" fillId="2" borderId="23" xfId="0" applyFont="1" applyFill="1" applyBorder="1" applyAlignment="1">
      <alignment horizontal="center"/>
    </xf>
    <xf numFmtId="0" fontId="23" fillId="13" borderId="9" xfId="0" applyFont="1" applyFill="1" applyBorder="1" applyAlignment="1">
      <alignment horizontal="center" vertical="center"/>
    </xf>
    <xf numFmtId="0" fontId="23" fillId="13" borderId="9" xfId="0" applyFont="1" applyFill="1" applyBorder="1" applyAlignment="1">
      <alignment horizontal="center" vertical="center" wrapText="1"/>
    </xf>
    <xf numFmtId="0" fontId="44" fillId="0" borderId="94" xfId="0" applyFont="1" applyBorder="1" applyAlignment="1">
      <alignment horizontal="center" vertical="center" wrapText="1"/>
    </xf>
    <xf numFmtId="0" fontId="46" fillId="0" borderId="30" xfId="0" applyFont="1" applyBorder="1" applyAlignment="1">
      <alignment horizontal="center" vertical="center" wrapText="1"/>
    </xf>
    <xf numFmtId="0" fontId="46" fillId="0" borderId="37" xfId="0" applyFont="1" applyBorder="1" applyAlignment="1">
      <alignment horizontal="center" vertical="center" wrapText="1"/>
    </xf>
    <xf numFmtId="0" fontId="46" fillId="0" borderId="22" xfId="0" applyFont="1" applyBorder="1" applyAlignment="1">
      <alignment horizontal="center" vertical="center" wrapText="1"/>
    </xf>
    <xf numFmtId="0" fontId="46" fillId="0" borderId="32" xfId="0" applyFont="1" applyBorder="1" applyAlignment="1">
      <alignment horizontal="center" vertical="center" wrapText="1"/>
    </xf>
    <xf numFmtId="0" fontId="46" fillId="0" borderId="23" xfId="0" applyFont="1" applyBorder="1" applyAlignment="1">
      <alignment horizontal="center" vertical="center" wrapText="1"/>
    </xf>
    <xf numFmtId="0" fontId="46" fillId="0" borderId="94" xfId="0" applyFont="1" applyBorder="1" applyAlignment="1">
      <alignment horizontal="center" vertical="center" wrapText="1"/>
    </xf>
    <xf numFmtId="0" fontId="35" fillId="19" borderId="0" xfId="8" applyAlignment="1">
      <alignment horizontal="center" vertical="center" wrapText="1"/>
    </xf>
    <xf numFmtId="10" fontId="45" fillId="0" borderId="22" xfId="0" applyNumberFormat="1" applyFont="1" applyFill="1" applyBorder="1" applyAlignment="1">
      <alignment horizontal="center" vertical="center" wrapText="1"/>
    </xf>
    <xf numFmtId="10" fontId="45" fillId="0" borderId="32" xfId="0" applyNumberFormat="1" applyFont="1" applyFill="1" applyBorder="1" applyAlignment="1">
      <alignment horizontal="center" vertical="center" wrapText="1"/>
    </xf>
    <xf numFmtId="10" fontId="45" fillId="0" borderId="23" xfId="0" applyNumberFormat="1" applyFont="1" applyFill="1" applyBorder="1" applyAlignment="1">
      <alignment horizontal="center" vertical="center" wrapText="1"/>
    </xf>
    <xf numFmtId="10" fontId="45" fillId="0" borderId="22" xfId="0" applyNumberFormat="1" applyFont="1" applyBorder="1" applyAlignment="1">
      <alignment horizontal="center" vertical="center" wrapText="1"/>
    </xf>
    <xf numFmtId="10" fontId="45" fillId="0" borderId="32" xfId="0" applyNumberFormat="1" applyFont="1" applyBorder="1" applyAlignment="1">
      <alignment horizontal="center" vertical="center" wrapText="1"/>
    </xf>
    <xf numFmtId="10" fontId="45" fillId="0" borderId="23" xfId="0" applyNumberFormat="1" applyFont="1" applyBorder="1" applyAlignment="1">
      <alignment horizontal="center" vertical="center" wrapText="1"/>
    </xf>
    <xf numFmtId="173" fontId="45" fillId="0" borderId="22" xfId="0" applyNumberFormat="1" applyFont="1" applyBorder="1" applyAlignment="1">
      <alignment horizontal="center" vertical="center" wrapText="1"/>
    </xf>
    <xf numFmtId="173" fontId="45" fillId="0" borderId="32" xfId="0" applyNumberFormat="1" applyFont="1" applyBorder="1" applyAlignment="1">
      <alignment horizontal="center" vertical="center" wrapText="1"/>
    </xf>
    <xf numFmtId="173" fontId="45" fillId="0" borderId="23" xfId="0" applyNumberFormat="1" applyFont="1" applyBorder="1" applyAlignment="1">
      <alignment horizontal="center" vertical="center" wrapText="1"/>
    </xf>
    <xf numFmtId="0" fontId="23" fillId="0" borderId="94" xfId="0" applyFont="1" applyBorder="1" applyAlignment="1">
      <alignment horizontal="center"/>
    </xf>
  </cellXfs>
  <cellStyles count="11">
    <cellStyle name="Comma_IRR" xfId="5"/>
    <cellStyle name="Нейтральный" xfId="9" builtinId="28"/>
    <cellStyle name="Обычный" xfId="0" builtinId="0"/>
    <cellStyle name="Обычный 4" xfId="4"/>
    <cellStyle name="Обычный_Заключение-Номос version 6" xfId="3"/>
    <cellStyle name="Плохой" xfId="8" builtinId="27"/>
    <cellStyle name="Процентный" xfId="2" builtinId="5"/>
    <cellStyle name="Финансовый" xfId="1" builtinId="3"/>
    <cellStyle name="Финансовый 2" xfId="6"/>
    <cellStyle name="Финансовый 3" xfId="10"/>
    <cellStyle name="Хороший" xfId="7" builtinId="26"/>
  </cellStyles>
  <dxfs count="7">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6" tint="0.79998168889431442"/>
      </font>
      <fill>
        <patternFill>
          <bgColor theme="6" tint="0.79998168889431442"/>
        </patternFill>
      </fill>
      <border>
        <left/>
        <right/>
        <top/>
        <bottom/>
        <vertical/>
        <horizontal/>
      </border>
    </dxf>
    <dxf>
      <font>
        <color theme="6" tint="0.79998168889431442"/>
      </font>
      <fill>
        <patternFill>
          <bgColor theme="6" tint="0.79998168889431442"/>
        </patternFill>
      </fill>
      <border>
        <left/>
        <right/>
        <top/>
        <bottom/>
      </border>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mshid%20Tursunov/&#1052;&#1060;&#105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f-server\Users\0800416\Documents\&#1052;&#1057;&#1041;\&#1052;&#1072;&#1083;&#1099;&#1081;%20&#1073;&#1080;&#1079;&#1085;&#1077;&#1089;\&#1055;&#1088;&#1080;&#1083;&#1086;&#1078;&#1077;&#1085;&#1080;&#1077;%205&#1041;%20&#1082;%20&#1055;&#1086;&#1083;&#1086;&#1078;&#1077;&#1085;&#1080;&#11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F:\1.%20Jamshid-18.09.2024\6.%20Metodologiyalar%20yozish\Yangi\&#8220;Check%20List&#822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1.%20Jamshid-18.09.2024\6.%20Metodologiyalar%20yozish\Yangi\&#8220;Check%20List&#822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20Jamshid-18.09.2024/6.%20Metodologiyalar%20yozish/Yangi/&#8220;Check%20List&#82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rtiqjon/Xulosalar/Sherobod%20zement%20zavodi/Check%20List%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за"/>
      <sheetName val="мфо"/>
      <sheetName val="Лист3"/>
      <sheetName val="Лист1"/>
    </sheetNames>
    <sheetDataSet>
      <sheetData sheetId="0">
        <row r="1">
          <cell r="A1" t="str">
            <v>мфо</v>
          </cell>
          <cell r="B1" t="str">
            <v>Худуд номи</v>
          </cell>
          <cell r="C1" t="str">
            <v xml:space="preserve">Филиал номи </v>
          </cell>
        </row>
        <row r="2">
          <cell r="A2" t="str">
            <v>00032</v>
          </cell>
          <cell r="B2" t="str">
            <v>Андижон</v>
          </cell>
          <cell r="C2" t="str">
            <v>Пахтаобод</v>
          </cell>
        </row>
        <row r="3">
          <cell r="A3" t="str">
            <v>00034</v>
          </cell>
          <cell r="B3" t="str">
            <v>Андижон</v>
          </cell>
          <cell r="C3" t="str">
            <v>Асака</v>
          </cell>
        </row>
        <row r="4">
          <cell r="A4" t="str">
            <v>00038</v>
          </cell>
          <cell r="B4" t="str">
            <v>Андижон</v>
          </cell>
          <cell r="C4" t="str">
            <v>Шахрихон</v>
          </cell>
        </row>
        <row r="5">
          <cell r="A5" t="str">
            <v>00041</v>
          </cell>
          <cell r="B5" t="str">
            <v>Андижон</v>
          </cell>
          <cell r="C5" t="str">
            <v>Охунбобоев</v>
          </cell>
        </row>
        <row r="6">
          <cell r="A6" t="str">
            <v>00050</v>
          </cell>
          <cell r="B6" t="str">
            <v>Андижон</v>
          </cell>
          <cell r="C6" t="str">
            <v>Олтинкул</v>
          </cell>
        </row>
        <row r="7">
          <cell r="A7" t="str">
            <v>00063</v>
          </cell>
          <cell r="B7" t="str">
            <v>Андижон</v>
          </cell>
          <cell r="C7" t="str">
            <v>Куйган-ёр</v>
          </cell>
        </row>
        <row r="8">
          <cell r="A8" t="str">
            <v>00067</v>
          </cell>
          <cell r="B8" t="str">
            <v>Андижон</v>
          </cell>
          <cell r="C8" t="str">
            <v>Балиқчи</v>
          </cell>
        </row>
        <row r="9">
          <cell r="A9" t="str">
            <v>00078</v>
          </cell>
          <cell r="B9" t="str">
            <v>Андижон</v>
          </cell>
          <cell r="C9" t="str">
            <v>Амалиёт</v>
          </cell>
        </row>
        <row r="10">
          <cell r="A10" t="str">
            <v>00100</v>
          </cell>
          <cell r="B10" t="str">
            <v>Бухоро</v>
          </cell>
          <cell r="C10" t="str">
            <v>Янгибозор</v>
          </cell>
        </row>
        <row r="11">
          <cell r="A11" t="str">
            <v>00101</v>
          </cell>
          <cell r="B11" t="str">
            <v>Бухоро</v>
          </cell>
          <cell r="C11" t="str">
            <v>Шофиркон</v>
          </cell>
        </row>
        <row r="12">
          <cell r="A12" t="str">
            <v>00104</v>
          </cell>
          <cell r="B12" t="str">
            <v>Бухоро</v>
          </cell>
          <cell r="C12" t="str">
            <v>Ғиждувон</v>
          </cell>
        </row>
        <row r="13">
          <cell r="A13" t="str">
            <v>00106</v>
          </cell>
          <cell r="B13" t="str">
            <v>Бухоро</v>
          </cell>
          <cell r="C13" t="str">
            <v>Когон</v>
          </cell>
        </row>
        <row r="14">
          <cell r="A14" t="str">
            <v>00108</v>
          </cell>
          <cell r="B14" t="str">
            <v>Бухоро</v>
          </cell>
          <cell r="C14" t="str">
            <v>Жондор</v>
          </cell>
        </row>
        <row r="15">
          <cell r="A15" t="str">
            <v>00109</v>
          </cell>
          <cell r="B15" t="str">
            <v>Бухоро</v>
          </cell>
          <cell r="C15" t="str">
            <v>Амалиёт</v>
          </cell>
        </row>
        <row r="16">
          <cell r="A16" t="str">
            <v>00110</v>
          </cell>
          <cell r="B16" t="str">
            <v>Бухоро</v>
          </cell>
          <cell r="C16" t="str">
            <v>Ромитан</v>
          </cell>
        </row>
        <row r="17">
          <cell r="A17" t="str">
            <v>00135</v>
          </cell>
          <cell r="B17" t="str">
            <v>Жиззах</v>
          </cell>
          <cell r="C17" t="str">
            <v>Амалиёт</v>
          </cell>
        </row>
        <row r="18">
          <cell r="A18" t="str">
            <v>00142</v>
          </cell>
          <cell r="B18" t="str">
            <v>Жиззах</v>
          </cell>
          <cell r="C18" t="str">
            <v>Ғаллаорол</v>
          </cell>
        </row>
        <row r="19">
          <cell r="A19" t="str">
            <v>00144</v>
          </cell>
          <cell r="B19" t="str">
            <v>Жиззах</v>
          </cell>
          <cell r="C19" t="str">
            <v>Мирзачўл</v>
          </cell>
        </row>
        <row r="20">
          <cell r="A20" t="str">
            <v>00145</v>
          </cell>
          <cell r="B20" t="str">
            <v>Жиззах</v>
          </cell>
          <cell r="C20" t="str">
            <v>Зомин</v>
          </cell>
        </row>
        <row r="21">
          <cell r="A21" t="str">
            <v>00149</v>
          </cell>
          <cell r="B21" t="str">
            <v>Жиззах</v>
          </cell>
          <cell r="C21" t="str">
            <v>Зарбдор</v>
          </cell>
        </row>
        <row r="22">
          <cell r="A22" t="str">
            <v>00152</v>
          </cell>
          <cell r="B22" t="str">
            <v>Қашқадарё</v>
          </cell>
          <cell r="C22" t="str">
            <v>Амалиёт</v>
          </cell>
        </row>
        <row r="23">
          <cell r="A23" t="str">
            <v>00161</v>
          </cell>
          <cell r="B23" t="str">
            <v>Қашқадарё</v>
          </cell>
          <cell r="C23" t="str">
            <v>Қамаши</v>
          </cell>
        </row>
        <row r="24">
          <cell r="A24" t="str">
            <v>00163</v>
          </cell>
          <cell r="B24" t="str">
            <v>Қашқадарё</v>
          </cell>
          <cell r="C24" t="str">
            <v>Косон</v>
          </cell>
        </row>
        <row r="25">
          <cell r="A25" t="str">
            <v>00167</v>
          </cell>
          <cell r="B25" t="str">
            <v>Қашқадарё</v>
          </cell>
          <cell r="C25" t="str">
            <v>Шахрисабз</v>
          </cell>
        </row>
        <row r="26">
          <cell r="A26" t="str">
            <v>00173</v>
          </cell>
          <cell r="B26" t="str">
            <v>Қашқадарё</v>
          </cell>
          <cell r="C26" t="str">
            <v>Бешкент</v>
          </cell>
        </row>
        <row r="27">
          <cell r="A27" t="str">
            <v>00175</v>
          </cell>
          <cell r="B27" t="str">
            <v>Қашқадарё</v>
          </cell>
          <cell r="C27" t="str">
            <v>Чироқчи</v>
          </cell>
        </row>
        <row r="28">
          <cell r="A28" t="str">
            <v>00177</v>
          </cell>
          <cell r="B28" t="str">
            <v>Қашқадарё</v>
          </cell>
          <cell r="C28" t="str">
            <v>Китоб</v>
          </cell>
        </row>
        <row r="29">
          <cell r="A29" t="str">
            <v>00182</v>
          </cell>
          <cell r="B29" t="str">
            <v>Қашқадарё</v>
          </cell>
          <cell r="C29" t="str">
            <v>Янги-Нишон</v>
          </cell>
        </row>
        <row r="30">
          <cell r="A30" t="str">
            <v>00188</v>
          </cell>
          <cell r="B30" t="str">
            <v>Қашқадарё</v>
          </cell>
          <cell r="C30" t="str">
            <v>Муборак</v>
          </cell>
        </row>
        <row r="31">
          <cell r="A31" t="str">
            <v>00198</v>
          </cell>
          <cell r="B31" t="str">
            <v>Навоий</v>
          </cell>
          <cell r="C31" t="str">
            <v>Амалиёт</v>
          </cell>
        </row>
        <row r="32">
          <cell r="A32" t="str">
            <v>00211</v>
          </cell>
          <cell r="B32" t="str">
            <v>Навоий</v>
          </cell>
          <cell r="C32" t="str">
            <v>Кармана</v>
          </cell>
        </row>
        <row r="33">
          <cell r="A33" t="str">
            <v>00213</v>
          </cell>
          <cell r="B33" t="str">
            <v>Навоий</v>
          </cell>
          <cell r="C33" t="str">
            <v>Қизилтепа</v>
          </cell>
        </row>
        <row r="34">
          <cell r="A34" t="str">
            <v>00233</v>
          </cell>
          <cell r="B34" t="str">
            <v>Наманган</v>
          </cell>
          <cell r="C34" t="str">
            <v>Жумашуй</v>
          </cell>
        </row>
        <row r="35">
          <cell r="A35" t="str">
            <v>00239</v>
          </cell>
          <cell r="B35" t="str">
            <v>Наманган</v>
          </cell>
          <cell r="C35" t="str">
            <v>Поп</v>
          </cell>
        </row>
        <row r="36">
          <cell r="A36" t="str">
            <v>00250</v>
          </cell>
          <cell r="B36" t="str">
            <v>Наманган</v>
          </cell>
          <cell r="C36" t="str">
            <v>Чуст</v>
          </cell>
        </row>
        <row r="37">
          <cell r="A37" t="str">
            <v>00252</v>
          </cell>
          <cell r="B37" t="str">
            <v>Наманган</v>
          </cell>
          <cell r="C37" t="str">
            <v>Янгиқурғон</v>
          </cell>
        </row>
        <row r="38">
          <cell r="A38" t="str">
            <v>00254</v>
          </cell>
          <cell r="B38" t="str">
            <v>Наманган</v>
          </cell>
          <cell r="C38" t="str">
            <v>Тошбулоқ</v>
          </cell>
        </row>
        <row r="39">
          <cell r="A39" t="str">
            <v>00260</v>
          </cell>
          <cell r="B39" t="str">
            <v>Наманган</v>
          </cell>
          <cell r="C39" t="str">
            <v>Амалиёт</v>
          </cell>
        </row>
        <row r="40">
          <cell r="A40" t="str">
            <v>00266</v>
          </cell>
          <cell r="B40" t="str">
            <v>Самарқанд</v>
          </cell>
          <cell r="C40" t="str">
            <v>Лоиш</v>
          </cell>
        </row>
        <row r="41">
          <cell r="A41" t="str">
            <v>00268</v>
          </cell>
          <cell r="B41" t="str">
            <v>Самарқанд</v>
          </cell>
          <cell r="C41" t="str">
            <v>Оқтош</v>
          </cell>
        </row>
        <row r="42">
          <cell r="A42" t="str">
            <v>00281</v>
          </cell>
          <cell r="B42" t="str">
            <v>Самарқанд</v>
          </cell>
          <cell r="C42" t="str">
            <v>Амалиёт</v>
          </cell>
        </row>
        <row r="43">
          <cell r="A43" t="str">
            <v>00289</v>
          </cell>
          <cell r="B43" t="str">
            <v>Самарқанд</v>
          </cell>
          <cell r="C43" t="str">
            <v>Булунғур</v>
          </cell>
        </row>
        <row r="44">
          <cell r="A44" t="str">
            <v>00298</v>
          </cell>
          <cell r="B44" t="str">
            <v>Самарқанд</v>
          </cell>
          <cell r="C44" t="str">
            <v>Зиёвуддин</v>
          </cell>
        </row>
        <row r="45">
          <cell r="A45" t="str">
            <v>00301</v>
          </cell>
          <cell r="B45" t="str">
            <v>Самарқанд</v>
          </cell>
          <cell r="C45" t="str">
            <v>Ургут</v>
          </cell>
        </row>
        <row r="46">
          <cell r="A46" t="str">
            <v>00315</v>
          </cell>
          <cell r="B46" t="str">
            <v>Самарқанд</v>
          </cell>
          <cell r="C46" t="str">
            <v>Каттақўрғон</v>
          </cell>
        </row>
        <row r="47">
          <cell r="A47" t="str">
            <v>00326</v>
          </cell>
          <cell r="B47" t="str">
            <v>Сурхондарё</v>
          </cell>
          <cell r="C47" t="str">
            <v>Амалиёт</v>
          </cell>
        </row>
        <row r="48">
          <cell r="A48" t="str">
            <v>00333</v>
          </cell>
          <cell r="B48" t="str">
            <v>Сурхондарё</v>
          </cell>
          <cell r="C48" t="str">
            <v>Жарқўрғон</v>
          </cell>
        </row>
        <row r="49">
          <cell r="A49" t="str">
            <v>00335</v>
          </cell>
          <cell r="B49" t="str">
            <v>Сурхондарё</v>
          </cell>
          <cell r="C49" t="str">
            <v>Музрабод</v>
          </cell>
        </row>
        <row r="50">
          <cell r="A50" t="str">
            <v>00338</v>
          </cell>
          <cell r="B50" t="str">
            <v>Сурхондарё</v>
          </cell>
          <cell r="C50" t="str">
            <v>Шеробод</v>
          </cell>
        </row>
        <row r="51">
          <cell r="A51" t="str">
            <v>00342</v>
          </cell>
          <cell r="B51" t="str">
            <v>Сурхондарё</v>
          </cell>
          <cell r="C51" t="str">
            <v>Узун</v>
          </cell>
        </row>
        <row r="52">
          <cell r="A52" t="str">
            <v>00344</v>
          </cell>
          <cell r="B52" t="str">
            <v>Сурхондарё</v>
          </cell>
          <cell r="C52" t="str">
            <v>Ангор</v>
          </cell>
        </row>
        <row r="53">
          <cell r="A53" t="str">
            <v>00346</v>
          </cell>
          <cell r="B53" t="str">
            <v>Сурхондарё</v>
          </cell>
          <cell r="C53" t="str">
            <v>Қизириқ</v>
          </cell>
        </row>
        <row r="54">
          <cell r="A54" t="str">
            <v>00348</v>
          </cell>
          <cell r="B54" t="str">
            <v>Сурхондарё</v>
          </cell>
          <cell r="C54" t="str">
            <v>Қумқўрғон</v>
          </cell>
        </row>
        <row r="55">
          <cell r="A55" t="str">
            <v>00350</v>
          </cell>
          <cell r="B55" t="str">
            <v>Сурхондарё</v>
          </cell>
          <cell r="C55" t="str">
            <v>Учқизил</v>
          </cell>
        </row>
        <row r="56">
          <cell r="A56" t="str">
            <v>00361</v>
          </cell>
          <cell r="B56" t="str">
            <v>Сурхондарё</v>
          </cell>
          <cell r="C56" t="str">
            <v>Денау</v>
          </cell>
        </row>
        <row r="57">
          <cell r="A57" t="str">
            <v>00366</v>
          </cell>
          <cell r="B57" t="str">
            <v>Сирдарё</v>
          </cell>
          <cell r="C57" t="str">
            <v>Амалиёт</v>
          </cell>
        </row>
        <row r="58">
          <cell r="A58" t="str">
            <v>00376</v>
          </cell>
          <cell r="B58" t="str">
            <v>Сирдарё</v>
          </cell>
          <cell r="C58" t="str">
            <v>Сирдарё</v>
          </cell>
        </row>
        <row r="59">
          <cell r="A59" t="str">
            <v>00384</v>
          </cell>
          <cell r="B59" t="str">
            <v>Сирдарё</v>
          </cell>
          <cell r="C59" t="str">
            <v>Боёвут</v>
          </cell>
        </row>
        <row r="60">
          <cell r="A60" t="str">
            <v>00433</v>
          </cell>
          <cell r="B60" t="str">
            <v>Тошкент шаҳар</v>
          </cell>
          <cell r="C60" t="str">
            <v>Тошкент шаҳар</v>
          </cell>
        </row>
        <row r="61">
          <cell r="A61" t="str">
            <v>00455</v>
          </cell>
          <cell r="B61" t="str">
            <v>Тошкент</v>
          </cell>
          <cell r="C61" t="str">
            <v>Амалиёт</v>
          </cell>
        </row>
        <row r="62">
          <cell r="A62" t="str">
            <v>00458</v>
          </cell>
          <cell r="B62" t="str">
            <v>Тошкент</v>
          </cell>
          <cell r="C62" t="str">
            <v>Оққўрғон</v>
          </cell>
        </row>
        <row r="63">
          <cell r="A63" t="str">
            <v>00467</v>
          </cell>
          <cell r="B63" t="str">
            <v>Тошкент</v>
          </cell>
          <cell r="C63" t="str">
            <v>Ғазалкент</v>
          </cell>
        </row>
        <row r="64">
          <cell r="A64" t="str">
            <v>00470</v>
          </cell>
          <cell r="B64" t="str">
            <v>Тошкент</v>
          </cell>
          <cell r="C64" t="str">
            <v>Келес</v>
          </cell>
        </row>
        <row r="65">
          <cell r="A65" t="str">
            <v>00473</v>
          </cell>
          <cell r="B65" t="str">
            <v>Тошкент</v>
          </cell>
          <cell r="C65" t="str">
            <v>Пскент</v>
          </cell>
        </row>
        <row r="66">
          <cell r="A66" t="str">
            <v>00483</v>
          </cell>
          <cell r="B66" t="str">
            <v>Тошкент</v>
          </cell>
          <cell r="C66" t="str">
            <v>Паркент</v>
          </cell>
        </row>
        <row r="67">
          <cell r="A67" t="str">
            <v>00496</v>
          </cell>
          <cell r="B67" t="str">
            <v>Фарғона</v>
          </cell>
          <cell r="C67" t="str">
            <v>Амалиёт</v>
          </cell>
        </row>
        <row r="68">
          <cell r="A68" t="str">
            <v>00520</v>
          </cell>
          <cell r="B68" t="str">
            <v>Фарғона</v>
          </cell>
          <cell r="C68" t="str">
            <v>Риштон</v>
          </cell>
        </row>
        <row r="69">
          <cell r="A69" t="str">
            <v>00549</v>
          </cell>
          <cell r="B69" t="str">
            <v>Хоразм</v>
          </cell>
          <cell r="C69" t="str">
            <v>Амалиёт</v>
          </cell>
        </row>
        <row r="70">
          <cell r="A70" t="str">
            <v>00557</v>
          </cell>
          <cell r="B70" t="str">
            <v>Хоразм</v>
          </cell>
          <cell r="C70" t="str">
            <v>Боғот</v>
          </cell>
        </row>
        <row r="71">
          <cell r="A71" t="str">
            <v>00568</v>
          </cell>
          <cell r="B71" t="str">
            <v>Хоразм</v>
          </cell>
          <cell r="C71" t="str">
            <v>Шовот</v>
          </cell>
        </row>
        <row r="72">
          <cell r="A72" t="str">
            <v>00570</v>
          </cell>
          <cell r="B72" t="str">
            <v>Хоразм</v>
          </cell>
          <cell r="C72" t="str">
            <v>Қоровул</v>
          </cell>
        </row>
        <row r="73">
          <cell r="A73" t="str">
            <v>00578</v>
          </cell>
          <cell r="B73" t="str">
            <v>Хоразм</v>
          </cell>
          <cell r="C73" t="str">
            <v>Хива</v>
          </cell>
        </row>
        <row r="74">
          <cell r="A74" t="str">
            <v>00584</v>
          </cell>
          <cell r="B74" t="str">
            <v>Қорақалпоғистон</v>
          </cell>
          <cell r="C74" t="str">
            <v>Амалиёт</v>
          </cell>
        </row>
        <row r="75">
          <cell r="A75" t="str">
            <v>00599</v>
          </cell>
          <cell r="B75" t="str">
            <v>Қорақалпоғистон</v>
          </cell>
          <cell r="C75" t="str">
            <v>Тўрткўл</v>
          </cell>
        </row>
        <row r="76">
          <cell r="A76" t="str">
            <v>00620</v>
          </cell>
          <cell r="B76" t="str">
            <v>Қорақалпоғистон</v>
          </cell>
          <cell r="C76" t="str">
            <v>Мангит</v>
          </cell>
        </row>
        <row r="77">
          <cell r="A77" t="str">
            <v>01058</v>
          </cell>
          <cell r="B77" t="str">
            <v>Қашқадарё</v>
          </cell>
          <cell r="C77" t="str">
            <v>Яккабоғ</v>
          </cell>
        </row>
        <row r="78">
          <cell r="A78" t="str">
            <v>01052</v>
          </cell>
          <cell r="B78" t="str">
            <v>Фарғона</v>
          </cell>
          <cell r="C78" t="str">
            <v>Учкўприк</v>
          </cell>
        </row>
        <row r="79">
          <cell r="A79" t="str">
            <v>01055</v>
          </cell>
          <cell r="B79" t="str">
            <v>Қорақалпоғистон</v>
          </cell>
          <cell r="C79" t="str">
            <v>Элликқаъла</v>
          </cell>
        </row>
        <row r="80">
          <cell r="A80" t="str">
            <v>01044</v>
          </cell>
          <cell r="B80" t="str">
            <v>Наманган</v>
          </cell>
          <cell r="C80" t="str">
            <v>Чортоқ</v>
          </cell>
        </row>
        <row r="81">
          <cell r="A81" t="str">
            <v>01049</v>
          </cell>
          <cell r="B81" t="str">
            <v>Наманган</v>
          </cell>
          <cell r="C81" t="str">
            <v>Косонсой</v>
          </cell>
        </row>
        <row r="82">
          <cell r="A82" t="str">
            <v>01047</v>
          </cell>
          <cell r="B82" t="str">
            <v>Самарқанд</v>
          </cell>
          <cell r="C82" t="str">
            <v xml:space="preserve">Жума </v>
          </cell>
        </row>
        <row r="83">
          <cell r="A83" t="str">
            <v>01089</v>
          </cell>
          <cell r="B83" t="str">
            <v>Фарғона</v>
          </cell>
          <cell r="C83" t="str">
            <v>Қўқон</v>
          </cell>
        </row>
        <row r="84">
          <cell r="A84" t="str">
            <v>01073</v>
          </cell>
          <cell r="B84" t="str">
            <v>Навоий</v>
          </cell>
          <cell r="C84" t="str">
            <v>Учқудуқ</v>
          </cell>
        </row>
        <row r="85">
          <cell r="A85" t="str">
            <v>01093</v>
          </cell>
          <cell r="B85" t="str">
            <v>Қорақалпоғистон</v>
          </cell>
          <cell r="C85" t="str">
            <v>Чимбой</v>
          </cell>
        </row>
        <row r="86">
          <cell r="A86" t="str">
            <v>01106</v>
          </cell>
          <cell r="B86" t="str">
            <v>Қорақалпоғистон</v>
          </cell>
          <cell r="C86" t="str">
            <v>Хўжайли</v>
          </cell>
        </row>
        <row r="87">
          <cell r="A87" t="str">
            <v>01147</v>
          </cell>
          <cell r="B87" t="str">
            <v>Тошкент шаҳар</v>
          </cell>
          <cell r="C87" t="str">
            <v>Қорасарой</v>
          </cell>
        </row>
      </sheetData>
      <sheetData sheetId="1">
        <row r="2">
          <cell r="C2" t="str">
            <v>мфо</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ребования по заполнению"/>
      <sheetName val="ЗАКЛЮЧЕНИЕ"/>
      <sheetName val="Стоп-параметры"/>
      <sheetName val="Расчет Лимита овердрафта"/>
      <sheetName val="СashFlow"/>
      <sheetName val="Расчет проекта"/>
      <sheetName val="Справка"/>
      <sheetName val="Прогноз платежей"/>
      <sheetName val="Риск-формуляр"/>
      <sheetName val="Справочник"/>
    </sheetNames>
    <sheetDataSet>
      <sheetData sheetId="0"/>
      <sheetData sheetId="1"/>
      <sheetData sheetId="2"/>
      <sheetData sheetId="3"/>
      <sheetData sheetId="4"/>
      <sheetData sheetId="5"/>
      <sheetData sheetId="6"/>
      <sheetData sheetId="7"/>
      <sheetData sheetId="8"/>
      <sheetData sheetId="9">
        <row r="3">
          <cell r="C3" t="str">
            <v>Легкий кредит</v>
          </cell>
        </row>
        <row r="4">
          <cell r="C4" t="str">
            <v>Micro</v>
          </cell>
        </row>
        <row r="5">
          <cell r="C5" t="str">
            <v>Small</v>
          </cell>
        </row>
        <row r="6">
          <cell r="C6" t="str">
            <v>Medium</v>
          </cell>
        </row>
        <row r="7">
          <cell r="C7" t="str">
            <v>Medium-Инвестиционный</v>
          </cell>
        </row>
        <row r="8">
          <cell r="C8" t="str">
            <v>Атокредит для бизнеса</v>
          </cell>
        </row>
        <row r="9">
          <cell r="C9" t="str">
            <v>Кредит на приобретение оборудования</v>
          </cell>
        </row>
        <row r="10">
          <cell r="C10" t="str">
            <v>Коммерческая ипотека</v>
          </cell>
        </row>
        <row r="11">
          <cell r="C11" t="str">
            <v>Линия наОборот</v>
          </cell>
        </row>
        <row r="12">
          <cell r="C12" t="str">
            <v>Кредит на участие в торгах, аукционах, тендерах</v>
          </cell>
        </row>
        <row r="13">
          <cell r="C13" t="str">
            <v>Гарантия на обеспечение исполнения госконтракта</v>
          </cell>
        </row>
        <row r="14">
          <cell r="C14" t="str">
            <v>Кредит на исполнение госконтракта</v>
          </cell>
        </row>
        <row r="15">
          <cell r="C15" t="str">
            <v>Банковская гарантия</v>
          </cell>
        </row>
        <row r="16">
          <cell r="C16" t="str">
            <v>Тендерная банковская гарантия (для участия в конкурсах, организуемых коммерческими структурами)</v>
          </cell>
        </row>
        <row r="17">
          <cell r="C17" t="str">
            <v>Банковская гарантия в пользу ФТС (для включения в реестр таможенных представителей и реестр таможенных перевозчиков)</v>
          </cell>
        </row>
        <row r="18">
          <cell r="C18" t="str">
            <v>Банковская гарантия в пользу ФТС (в обеспечение уплаты таможенных пошлин)</v>
          </cell>
        </row>
        <row r="19">
          <cell r="C19" t="str">
            <v>Овердрафт</v>
          </cell>
        </row>
        <row r="20">
          <cell r="C20" t="str">
            <v>Овердрафт с Переходным периодом</v>
          </cell>
        </row>
        <row r="21">
          <cell r="C21" t="str">
            <v>Корпоративный овердрафт</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лл"/>
      <sheetName val="Xulosa"/>
      <sheetName val="Справочник"/>
      <sheetName val="Анкета"/>
      <sheetName val="ГЭП Анализ"/>
      <sheetName val="Контракты"/>
      <sheetName val="1.Moliyaviy natijalar"/>
      <sheetName val="Лист1"/>
      <sheetName val="2.NPV-IRR"/>
      <sheetName val="3.Кредит таъминоти"/>
      <sheetName val="Лист2"/>
      <sheetName val="4. Кредит тарихи"/>
      <sheetName val="Коэффициент"/>
      <sheetName val="5. ҲР айланма ва қарз юки"/>
      <sheetName val="Поручитель 1"/>
    </sheetNames>
    <sheetDataSet>
      <sheetData sheetId="0"/>
      <sheetData sheetId="1"/>
      <sheetData sheetId="2">
        <row r="14">
          <cell r="J14" t="str">
            <v>Без выбора</v>
          </cell>
        </row>
        <row r="33">
          <cell r="Q33" t="str">
            <v>UZS</v>
          </cell>
        </row>
        <row r="34">
          <cell r="Q34" t="str">
            <v>USD</v>
          </cell>
        </row>
        <row r="35">
          <cell r="Q35" t="str">
            <v>EUR</v>
          </cell>
        </row>
        <row r="36">
          <cell r="Q36" t="str">
            <v>РУБЛЬ</v>
          </cell>
        </row>
      </sheetData>
      <sheetData sheetId="3">
        <row r="51">
          <cell r="B51">
            <v>2</v>
          </cell>
        </row>
        <row r="55">
          <cell r="B55">
            <v>2</v>
          </cell>
        </row>
      </sheetData>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нкета"/>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нкета"/>
      <sheetName val="Справочник"/>
      <sheetName val="Балл"/>
      <sheetName val="Xulosa"/>
      <sheetName val="ГЭП Анализ"/>
      <sheetName val="Контракты"/>
      <sheetName val="1.Moliyaviy natijalar"/>
      <sheetName val="Лист1"/>
      <sheetName val="2.NPV-IRR"/>
      <sheetName val="3.Кредит таъминоти"/>
      <sheetName val="Лист2"/>
      <sheetName val="4. Кредит тарихи"/>
      <sheetName val="Коэффициент"/>
      <sheetName val="5. ҲР айланма ва қарз юки"/>
      <sheetName val="Поручитель 1"/>
    </sheetNames>
    <sheetDataSet>
      <sheetData sheetId="0">
        <row r="51">
          <cell r="B51">
            <v>2</v>
          </cell>
        </row>
      </sheetData>
      <sheetData sheetId="1">
        <row r="14">
          <cell r="J14" t="str">
            <v>Без выбора</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ulosa"/>
      <sheetName val="1.Moliyaviy natijalar"/>
      <sheetName val="3.Кредит таъминоти"/>
      <sheetName val="4. Кредит тарихи"/>
      <sheetName val="5. ҲР айланма ва қарз юки"/>
      <sheetName val="2.NPV-IRR"/>
    </sheetNames>
    <sheetDataSet>
      <sheetData sheetId="0">
        <row r="2">
          <cell r="L2" t="str">
            <v>UZS</v>
          </cell>
        </row>
      </sheetData>
      <sheetData sheetId="1"/>
      <sheetData sheetId="2"/>
      <sheetData sheetId="3"/>
      <sheetData sheetId="4"/>
      <sheetData sheetId="5"/>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externalLinkPath" Target="file:///F:\1.%20Jamshid-18.09.2024\6.%20Metodologiyalar%20yozish\Yangi\&#8220;Check%20List&#8221;.xlsx"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4.9989318521683403E-2"/>
    <outlinePr summaryBelow="0" summaryRight="0"/>
    <pageSetUpPr fitToPage="1"/>
  </sheetPr>
  <dimension ref="A1:U86"/>
  <sheetViews>
    <sheetView view="pageBreakPreview" topLeftCell="J1" zoomScale="70" zoomScaleNormal="70" zoomScaleSheetLayoutView="70" zoomScalePageLayoutView="60" workbookViewId="0">
      <selection activeCell="L22" sqref="L22"/>
    </sheetView>
  </sheetViews>
  <sheetFormatPr defaultColWidth="9.140625" defaultRowHeight="15" outlineLevelCol="1" x14ac:dyDescent="0.2"/>
  <cols>
    <col min="1" max="1" width="31.85546875" style="5" hidden="1" customWidth="1" outlineLevel="1" collapsed="1"/>
    <col min="2" max="2" width="38.140625" style="5" hidden="1" customWidth="1" outlineLevel="1"/>
    <col min="3" max="3" width="9.28515625" style="6" hidden="1" customWidth="1" outlineLevel="1"/>
    <col min="4" max="4" width="22.5703125" style="6" hidden="1" customWidth="1" outlineLevel="1"/>
    <col min="5" max="5" width="30.5703125" style="6" hidden="1" customWidth="1" outlineLevel="1"/>
    <col min="6" max="6" width="20" style="6" hidden="1" customWidth="1" outlineLevel="1"/>
    <col min="7" max="7" width="4.140625" style="6" hidden="1" customWidth="1" outlineLevel="1"/>
    <col min="8" max="8" width="2.7109375" style="6" hidden="1" customWidth="1" outlineLevel="1"/>
    <col min="9" max="9" width="2.85546875" style="7" hidden="1" customWidth="1"/>
    <col min="10" max="10" width="2.85546875" style="68" customWidth="1"/>
    <col min="11" max="11" width="76.85546875" style="68" bestFit="1" customWidth="1"/>
    <col min="12" max="12" width="34.140625" style="68" bestFit="1" customWidth="1"/>
    <col min="13" max="13" width="44.7109375" style="68" bestFit="1" customWidth="1"/>
    <col min="14" max="14" width="32.5703125" style="68" bestFit="1" customWidth="1"/>
    <col min="15" max="15" width="35.5703125" style="68" bestFit="1" customWidth="1"/>
    <col min="16" max="16" width="17.28515625" style="68" bestFit="1" customWidth="1"/>
    <col min="17" max="17" width="18.7109375" style="68" bestFit="1" customWidth="1"/>
    <col min="18" max="18" width="10.85546875" style="68" bestFit="1" customWidth="1"/>
    <col min="19" max="19" width="17.28515625" style="68" bestFit="1" customWidth="1"/>
    <col min="20" max="20" width="27.42578125" style="68" customWidth="1"/>
    <col min="21" max="21" width="45.140625" style="68" customWidth="1"/>
    <col min="22" max="16384" width="9.140625" style="9"/>
  </cols>
  <sheetData>
    <row r="1" spans="1:21" s="4" customFormat="1" ht="27" thickBot="1" x14ac:dyDescent="0.25">
      <c r="A1" s="1"/>
      <c r="B1" s="1"/>
      <c r="C1" s="2"/>
      <c r="D1" s="2"/>
      <c r="E1" s="2"/>
      <c r="F1" s="2"/>
      <c r="G1" s="2"/>
      <c r="H1" s="2"/>
      <c r="I1" s="3"/>
      <c r="J1" s="446"/>
      <c r="K1" s="553" t="s">
        <v>370</v>
      </c>
      <c r="L1" s="554"/>
      <c r="M1" s="554"/>
      <c r="N1" s="554"/>
      <c r="O1" s="554"/>
      <c r="P1" s="554"/>
      <c r="Q1" s="554"/>
      <c r="R1" s="554"/>
      <c r="S1" s="554"/>
      <c r="T1" s="554"/>
      <c r="U1" s="555"/>
    </row>
    <row r="2" spans="1:21" ht="15.75" x14ac:dyDescent="0.2">
      <c r="C2" s="6">
        <f>+IF(L2=[3]Справочник!Q33,1,IF(L2=[3]Справочник!Q34,2,IF(L2=[3]Справочник!Q35,3,IF(L2=[3]Справочник!Q36,4))))</f>
        <v>1</v>
      </c>
      <c r="D2" s="6">
        <v>1</v>
      </c>
      <c r="F2" s="6" t="b">
        <f>+IF(R2=[3]Справочник!J14,1)</f>
        <v>0</v>
      </c>
      <c r="J2" s="8">
        <v>1</v>
      </c>
      <c r="K2" s="447" t="str">
        <f>+IF([3]Анкета!B55=4,"Валюта запрашиваемого гарантии",IF([3]Анкета!B55=5,"Валюта запрашиваемого факторинга","Валюта запрашиваемого кредита"))</f>
        <v>Валюта запрашиваемого кредита</v>
      </c>
      <c r="L2" s="448" t="s">
        <v>244</v>
      </c>
      <c r="M2" s="449"/>
      <c r="O2" s="450"/>
      <c r="P2" s="451"/>
      <c r="Q2" s="556"/>
      <c r="R2" s="557"/>
      <c r="S2" s="14"/>
      <c r="T2" s="14"/>
      <c r="U2" s="15"/>
    </row>
    <row r="3" spans="1:21" ht="15.75" x14ac:dyDescent="0.2">
      <c r="J3" s="10">
        <v>2</v>
      </c>
      <c r="K3" s="11" t="s">
        <v>1</v>
      </c>
      <c r="L3" s="12">
        <f>L4+L5</f>
        <v>9200000000</v>
      </c>
      <c r="M3" s="12"/>
      <c r="N3" s="14"/>
      <c r="O3" s="14"/>
      <c r="P3" s="14"/>
      <c r="Q3" s="14"/>
      <c r="R3" s="14"/>
      <c r="S3" s="14"/>
      <c r="T3" s="14"/>
      <c r="U3" s="15"/>
    </row>
    <row r="4" spans="1:21" ht="15.75" x14ac:dyDescent="0.2">
      <c r="J4" s="10">
        <v>3</v>
      </c>
      <c r="K4" s="11" t="s">
        <v>2</v>
      </c>
      <c r="L4" s="12">
        <v>4900000000</v>
      </c>
      <c r="M4" s="13"/>
      <c r="N4" s="16"/>
      <c r="O4" s="14"/>
      <c r="P4" s="14"/>
      <c r="Q4" s="14"/>
      <c r="R4" s="14"/>
      <c r="S4" s="14"/>
      <c r="T4" s="14"/>
      <c r="U4" s="15"/>
    </row>
    <row r="5" spans="1:21" ht="15.75" x14ac:dyDescent="0.2">
      <c r="J5" s="10">
        <v>4</v>
      </c>
      <c r="K5" s="11" t="s">
        <v>3</v>
      </c>
      <c r="L5" s="12">
        <v>4300000000</v>
      </c>
      <c r="M5" s="13"/>
      <c r="N5" s="14"/>
      <c r="O5" s="14"/>
      <c r="P5" s="14"/>
      <c r="Q5" s="14"/>
      <c r="R5" s="14"/>
      <c r="S5" s="14"/>
      <c r="T5" s="14"/>
      <c r="U5" s="15"/>
    </row>
    <row r="6" spans="1:21" ht="15.75" x14ac:dyDescent="0.2">
      <c r="J6" s="10">
        <v>5</v>
      </c>
      <c r="K6" s="11" t="str">
        <f>+IF([3]Анкета!B51=4,"Срок гарантии (месяцев)",IF([3]Анкета!B51=5,"Срок, дней","Срок кредита (месяцев)"))</f>
        <v>Срок кредита (месяцев)</v>
      </c>
      <c r="L6" s="12">
        <v>84</v>
      </c>
      <c r="M6" s="12"/>
      <c r="N6" s="14"/>
      <c r="O6" s="14"/>
      <c r="P6" s="14"/>
      <c r="Q6" s="14"/>
      <c r="R6" s="14"/>
      <c r="S6" s="14"/>
      <c r="T6" s="14"/>
      <c r="U6" s="15"/>
    </row>
    <row r="7" spans="1:21" ht="15.75" x14ac:dyDescent="0.2">
      <c r="J7" s="10">
        <v>6</v>
      </c>
      <c r="K7" s="11" t="s">
        <v>4</v>
      </c>
      <c r="L7" s="12">
        <v>24</v>
      </c>
      <c r="M7" s="12"/>
      <c r="N7" s="14"/>
      <c r="O7" s="14"/>
      <c r="P7" s="14"/>
      <c r="Q7" s="14"/>
      <c r="R7" s="14"/>
      <c r="S7" s="14"/>
      <c r="T7" s="14"/>
      <c r="U7" s="15"/>
    </row>
    <row r="8" spans="1:21" ht="16.5" thickBot="1" x14ac:dyDescent="0.25">
      <c r="J8" s="17">
        <v>7</v>
      </c>
      <c r="K8" s="18" t="str">
        <f>+IF([3]Анкета!B56=4,"Комиссионная сумма",IF([3]Анкета!B51=5,"Дисконт ставка","Процентная ставка:"))</f>
        <v>Процентная ставка:</v>
      </c>
      <c r="L8" s="335">
        <v>0.14000000000000001</v>
      </c>
      <c r="M8" s="335"/>
      <c r="N8" s="19"/>
      <c r="O8" s="19"/>
      <c r="P8" s="19"/>
      <c r="Q8" s="19"/>
      <c r="R8" s="19"/>
      <c r="S8" s="19"/>
      <c r="T8" s="19"/>
      <c r="U8" s="20"/>
    </row>
    <row r="9" spans="1:21" s="4" customFormat="1" ht="21" thickBot="1" x14ac:dyDescent="0.25">
      <c r="A9" s="1"/>
      <c r="B9" s="1"/>
      <c r="C9" s="2"/>
      <c r="D9" s="2"/>
      <c r="E9" s="2"/>
      <c r="F9" s="2"/>
      <c r="G9" s="2"/>
      <c r="H9" s="2"/>
      <c r="I9" s="3"/>
      <c r="J9" s="523" t="s">
        <v>5</v>
      </c>
      <c r="K9" s="523"/>
      <c r="L9" s="523"/>
      <c r="M9" s="523"/>
      <c r="N9" s="523"/>
      <c r="O9" s="523"/>
      <c r="P9" s="523"/>
      <c r="Q9" s="523"/>
      <c r="R9" s="523"/>
      <c r="S9" s="523"/>
      <c r="T9" s="523"/>
      <c r="U9" s="523"/>
    </row>
    <row r="10" spans="1:21" ht="15.75" thickBot="1" x14ac:dyDescent="0.25">
      <c r="J10" s="14"/>
      <c r="K10" s="14"/>
      <c r="L10" s="14"/>
      <c r="M10" s="14"/>
      <c r="N10" s="14"/>
      <c r="O10" s="14"/>
      <c r="P10" s="14"/>
      <c r="Q10" s="14"/>
      <c r="R10" s="14"/>
      <c r="S10" s="14"/>
      <c r="T10" s="14"/>
      <c r="U10" s="21"/>
    </row>
    <row r="11" spans="1:21" ht="16.5" thickBot="1" x14ac:dyDescent="0.25">
      <c r="J11" s="22"/>
      <c r="K11" s="23" t="s">
        <v>6</v>
      </c>
      <c r="L11" s="24" t="s">
        <v>7</v>
      </c>
      <c r="M11" s="24" t="s">
        <v>8</v>
      </c>
      <c r="N11" s="24" t="s">
        <v>9</v>
      </c>
      <c r="O11" s="25" t="s">
        <v>10</v>
      </c>
      <c r="P11" s="14"/>
      <c r="Q11" s="14"/>
      <c r="R11" s="14"/>
      <c r="S11" s="14"/>
      <c r="T11" s="14"/>
      <c r="U11" s="14"/>
    </row>
    <row r="12" spans="1:21" ht="31.5" x14ac:dyDescent="0.2">
      <c r="J12" s="22"/>
      <c r="K12" s="26" t="s">
        <v>11</v>
      </c>
      <c r="L12" s="27">
        <v>0.05</v>
      </c>
      <c r="M12" s="28" t="s">
        <v>12</v>
      </c>
      <c r="N12" s="29">
        <f>'1.Moliyaviy natijalar'!H3</f>
        <v>181354</v>
      </c>
      <c r="O12" s="30">
        <f>N12*L12</f>
        <v>9067.7000000000007</v>
      </c>
      <c r="P12" s="14"/>
      <c r="Q12" s="31" t="s">
        <v>13</v>
      </c>
      <c r="R12" s="558" t="s">
        <v>14</v>
      </c>
      <c r="S12" s="559"/>
      <c r="T12" s="558" t="s">
        <v>15</v>
      </c>
      <c r="U12" s="560"/>
    </row>
    <row r="13" spans="1:21" ht="31.15" customHeight="1" x14ac:dyDescent="0.2">
      <c r="J13" s="22"/>
      <c r="K13" s="26" t="s">
        <v>16</v>
      </c>
      <c r="L13" s="27">
        <v>0.3</v>
      </c>
      <c r="M13" s="28" t="s">
        <v>17</v>
      </c>
      <c r="N13" s="29">
        <f>'1.Moliyaviy natijalar'!H4</f>
        <v>8.9779207920792081E-2</v>
      </c>
      <c r="O13" s="30">
        <f>N13*L13</f>
        <v>2.6933762376237624E-2</v>
      </c>
      <c r="P13" s="14"/>
      <c r="Q13" s="371">
        <v>5</v>
      </c>
      <c r="R13" s="539" t="s">
        <v>18</v>
      </c>
      <c r="S13" s="541"/>
      <c r="T13" s="551" t="s">
        <v>19</v>
      </c>
      <c r="U13" s="552"/>
    </row>
    <row r="14" spans="1:21" ht="31.15" customHeight="1" x14ac:dyDescent="0.2">
      <c r="J14" s="22"/>
      <c r="K14" s="26" t="s">
        <v>20</v>
      </c>
      <c r="L14" s="27">
        <v>0.3</v>
      </c>
      <c r="M14" s="28" t="s">
        <v>21</v>
      </c>
      <c r="N14" s="29">
        <f>'1.Moliyaviy natijalar'!H5</f>
        <v>1934714.38</v>
      </c>
      <c r="O14" s="30">
        <f>N14*L14</f>
        <v>580414.3139999999</v>
      </c>
      <c r="P14" s="14"/>
      <c r="Q14" s="33">
        <v>4</v>
      </c>
      <c r="R14" s="561" t="s">
        <v>22</v>
      </c>
      <c r="S14" s="562"/>
      <c r="T14" s="563" t="s">
        <v>23</v>
      </c>
      <c r="U14" s="564"/>
    </row>
    <row r="15" spans="1:21" ht="31.15" customHeight="1" x14ac:dyDescent="0.2">
      <c r="J15" s="22"/>
      <c r="K15" s="26" t="s">
        <v>24</v>
      </c>
      <c r="L15" s="27">
        <v>0.3</v>
      </c>
      <c r="M15" s="28" t="s">
        <v>25</v>
      </c>
      <c r="N15" s="29">
        <f>'1.Moliyaviy natijalar'!H6</f>
        <v>0.71500638051333953</v>
      </c>
      <c r="O15" s="30">
        <f>N15*L15</f>
        <v>0.21450191415400185</v>
      </c>
      <c r="P15" s="14"/>
      <c r="Q15" s="32">
        <v>3</v>
      </c>
      <c r="R15" s="565" t="s">
        <v>26</v>
      </c>
      <c r="S15" s="566"/>
      <c r="T15" s="567" t="s">
        <v>27</v>
      </c>
      <c r="U15" s="568"/>
    </row>
    <row r="16" spans="1:21" ht="32.25" customHeight="1" thickBot="1" x14ac:dyDescent="0.25">
      <c r="J16" s="22"/>
      <c r="K16" s="34" t="s">
        <v>28</v>
      </c>
      <c r="L16" s="35">
        <v>0.05</v>
      </c>
      <c r="M16" s="36" t="s">
        <v>29</v>
      </c>
      <c r="N16" s="37">
        <f>'1.Moliyaviy natijalar'!H7</f>
        <v>0.2729610167470744</v>
      </c>
      <c r="O16" s="38">
        <f>N16*L16</f>
        <v>1.3648050837353721E-2</v>
      </c>
      <c r="P16" s="14"/>
      <c r="Q16" s="493">
        <v>2</v>
      </c>
      <c r="R16" s="547" t="s">
        <v>30</v>
      </c>
      <c r="S16" s="548"/>
      <c r="T16" s="549" t="s">
        <v>31</v>
      </c>
      <c r="U16" s="550"/>
    </row>
    <row r="17" spans="1:21" ht="16.5" customHeight="1" thickBot="1" x14ac:dyDescent="0.25">
      <c r="J17" s="22"/>
      <c r="K17" s="39"/>
      <c r="L17" s="39"/>
      <c r="M17" s="39"/>
      <c r="N17" s="39"/>
      <c r="O17" s="40">
        <f>SUM(O12:O16)</f>
        <v>589482.26908372727</v>
      </c>
      <c r="P17" s="14"/>
      <c r="Q17" s="493">
        <v>1</v>
      </c>
      <c r="R17" s="547" t="s">
        <v>32</v>
      </c>
      <c r="S17" s="548"/>
      <c r="T17" s="549" t="s">
        <v>33</v>
      </c>
      <c r="U17" s="550"/>
    </row>
    <row r="18" spans="1:21" ht="15" customHeight="1" x14ac:dyDescent="0.2">
      <c r="J18" s="22"/>
      <c r="K18" s="530" t="s">
        <v>34</v>
      </c>
      <c r="L18" s="531"/>
      <c r="M18" s="532"/>
      <c r="N18" s="14"/>
      <c r="O18" s="14"/>
      <c r="P18" s="14"/>
      <c r="Q18" s="14"/>
      <c r="R18" s="14"/>
      <c r="S18" s="14"/>
      <c r="T18" s="14"/>
      <c r="U18" s="14"/>
    </row>
    <row r="19" spans="1:21" ht="15.6" customHeight="1" thickBot="1" x14ac:dyDescent="0.25">
      <c r="J19" s="41"/>
      <c r="K19" s="533"/>
      <c r="L19" s="534"/>
      <c r="M19" s="535"/>
      <c r="N19" s="14"/>
      <c r="O19" s="14"/>
      <c r="P19" s="14"/>
      <c r="Q19" s="14"/>
      <c r="R19" s="14"/>
      <c r="S19" s="14"/>
      <c r="T19" s="14"/>
      <c r="U19" s="14"/>
    </row>
    <row r="20" spans="1:21" ht="16.5" thickBot="1" x14ac:dyDescent="0.25">
      <c r="J20" s="41"/>
      <c r="K20" s="42" t="s">
        <v>35</v>
      </c>
      <c r="L20" s="43" t="s">
        <v>36</v>
      </c>
      <c r="M20" s="44">
        <f>'1.Moliyaviy natijalar'!G12</f>
        <v>0.2729610167470744</v>
      </c>
      <c r="N20" s="14"/>
      <c r="O20" s="14"/>
      <c r="P20" s="14"/>
      <c r="Q20" s="45" t="s">
        <v>37</v>
      </c>
      <c r="R20" s="14"/>
      <c r="S20" s="14"/>
      <c r="T20" s="14"/>
      <c r="U20" s="14"/>
    </row>
    <row r="21" spans="1:21" ht="31.15" customHeight="1" x14ac:dyDescent="0.2">
      <c r="J21" s="41"/>
      <c r="K21" s="26" t="s">
        <v>38</v>
      </c>
      <c r="L21" s="28" t="s">
        <v>39</v>
      </c>
      <c r="M21" s="46">
        <f>'1.Moliyaviy natijalar'!G13</f>
        <v>2.0759922845060034E-3</v>
      </c>
      <c r="N21" s="14"/>
      <c r="O21" s="14"/>
      <c r="P21" s="14"/>
      <c r="Q21" s="494">
        <v>1</v>
      </c>
      <c r="R21" s="536" t="s">
        <v>40</v>
      </c>
      <c r="S21" s="537"/>
      <c r="T21" s="538"/>
      <c r="U21" s="495" t="s">
        <v>41</v>
      </c>
    </row>
    <row r="22" spans="1:21" ht="46.9" customHeight="1" x14ac:dyDescent="0.2">
      <c r="J22" s="41"/>
      <c r="K22" s="26" t="s">
        <v>42</v>
      </c>
      <c r="L22" s="28" t="s">
        <v>43</v>
      </c>
      <c r="M22" s="46">
        <f>'1.Moliyaviy natijalar'!G14</f>
        <v>2.5586501419991994E-2</v>
      </c>
      <c r="N22" s="14"/>
      <c r="O22" s="14"/>
      <c r="P22" s="14"/>
      <c r="Q22" s="504">
        <v>3</v>
      </c>
      <c r="R22" s="539" t="s">
        <v>44</v>
      </c>
      <c r="S22" s="540"/>
      <c r="T22" s="541"/>
      <c r="U22" s="505" t="s">
        <v>45</v>
      </c>
    </row>
    <row r="23" spans="1:21" ht="31.9" customHeight="1" thickBot="1" x14ac:dyDescent="0.25">
      <c r="J23" s="41"/>
      <c r="K23" s="26" t="s">
        <v>46</v>
      </c>
      <c r="L23" s="28" t="s">
        <v>47</v>
      </c>
      <c r="M23" s="46">
        <f>'1.Moliyaviy natijalar'!G15</f>
        <v>2.5088504851485149</v>
      </c>
      <c r="N23" s="14"/>
      <c r="O23" s="14"/>
      <c r="P23" s="14"/>
      <c r="Q23" s="502">
        <v>5</v>
      </c>
      <c r="R23" s="544" t="s">
        <v>48</v>
      </c>
      <c r="S23" s="545"/>
      <c r="T23" s="546"/>
      <c r="U23" s="503" t="s">
        <v>49</v>
      </c>
    </row>
    <row r="24" spans="1:21" ht="16.5" thickBot="1" x14ac:dyDescent="0.25">
      <c r="J24" s="41"/>
      <c r="K24" s="34" t="s">
        <v>50</v>
      </c>
      <c r="L24" s="36" t="s">
        <v>51</v>
      </c>
      <c r="M24" s="47">
        <f>'1.Moliyaviy natijalar'!G16</f>
        <v>1.5251391221043565E-2</v>
      </c>
      <c r="N24" s="14"/>
      <c r="O24" s="14"/>
      <c r="P24" s="14"/>
      <c r="Q24" s="14"/>
      <c r="R24" s="14"/>
      <c r="S24" s="14"/>
      <c r="T24" s="14"/>
      <c r="U24" s="14"/>
    </row>
    <row r="25" spans="1:21" ht="16.5" thickBot="1" x14ac:dyDescent="0.25">
      <c r="A25" s="9"/>
      <c r="B25" s="9"/>
      <c r="C25" s="9"/>
      <c r="D25" s="9"/>
      <c r="E25" s="9"/>
      <c r="F25" s="9"/>
      <c r="G25" s="9"/>
      <c r="H25" s="9"/>
      <c r="I25" s="9"/>
      <c r="J25" s="14"/>
      <c r="K25" s="14"/>
      <c r="L25" s="14"/>
      <c r="M25" s="48">
        <f>0.717*M20+0.847*M21+3.107*M22+0.42*M23+0.998*M24</f>
        <v>1.345906766585522</v>
      </c>
      <c r="N25" s="14"/>
      <c r="O25" s="14"/>
      <c r="P25" s="14"/>
      <c r="Q25" s="14"/>
      <c r="R25" s="14"/>
      <c r="S25" s="14"/>
      <c r="T25" s="14"/>
      <c r="U25" s="14"/>
    </row>
    <row r="26" spans="1:21" x14ac:dyDescent="0.2">
      <c r="A26" s="9"/>
      <c r="B26" s="9"/>
      <c r="C26" s="9"/>
      <c r="D26" s="9"/>
      <c r="E26" s="9"/>
      <c r="F26" s="9"/>
      <c r="G26" s="9"/>
      <c r="H26" s="9"/>
      <c r="I26" s="9"/>
      <c r="J26" s="14"/>
      <c r="K26" s="14"/>
      <c r="L26" s="14"/>
      <c r="M26" s="14"/>
      <c r="N26" s="14"/>
      <c r="O26" s="14"/>
      <c r="P26" s="14"/>
      <c r="Q26" s="14"/>
      <c r="R26" s="14"/>
      <c r="S26" s="14"/>
      <c r="T26" s="14"/>
      <c r="U26" s="14"/>
    </row>
    <row r="27" spans="1:21" x14ac:dyDescent="0.2">
      <c r="J27" s="14"/>
      <c r="K27" s="14"/>
      <c r="L27" s="14"/>
      <c r="M27" s="14"/>
      <c r="N27" s="14"/>
      <c r="O27" s="14"/>
      <c r="P27" s="14"/>
      <c r="Q27" s="14"/>
      <c r="R27" s="14"/>
      <c r="S27" s="14"/>
      <c r="T27" s="14"/>
      <c r="U27" s="14"/>
    </row>
    <row r="28" spans="1:21" s="4" customFormat="1" ht="21" hidden="1" thickBot="1" x14ac:dyDescent="0.25">
      <c r="J28" s="522" t="s">
        <v>52</v>
      </c>
      <c r="K28" s="523"/>
      <c r="L28" s="523"/>
      <c r="M28" s="523"/>
      <c r="N28" s="523"/>
      <c r="O28" s="523"/>
      <c r="P28" s="523"/>
      <c r="Q28" s="523"/>
      <c r="R28" s="523"/>
      <c r="S28" s="523"/>
      <c r="T28" s="523"/>
      <c r="U28" s="524"/>
    </row>
    <row r="29" spans="1:21" ht="15.75" hidden="1" x14ac:dyDescent="0.2">
      <c r="A29" s="9"/>
      <c r="B29" s="9"/>
      <c r="C29" s="9"/>
      <c r="D29" s="9"/>
      <c r="E29" s="9"/>
      <c r="F29" s="9"/>
      <c r="G29" s="9"/>
      <c r="H29" s="9"/>
      <c r="I29" s="9"/>
      <c r="J29" s="14"/>
      <c r="K29" s="49" t="s">
        <v>53</v>
      </c>
      <c r="L29" s="50" t="s">
        <v>54</v>
      </c>
      <c r="M29" s="50" t="s">
        <v>55</v>
      </c>
      <c r="N29" s="50" t="s">
        <v>56</v>
      </c>
      <c r="O29" s="51" t="s">
        <v>57</v>
      </c>
      <c r="P29" s="14"/>
      <c r="Q29" s="14"/>
      <c r="R29" s="14"/>
      <c r="S29" s="14"/>
      <c r="T29" s="14"/>
      <c r="U29" s="14"/>
    </row>
    <row r="30" spans="1:21" hidden="1" x14ac:dyDescent="0.2">
      <c r="A30" s="9"/>
      <c r="B30" s="9"/>
      <c r="C30" s="9"/>
      <c r="D30" s="9"/>
      <c r="E30" s="9"/>
      <c r="F30" s="9"/>
      <c r="G30" s="9"/>
      <c r="H30" s="9"/>
      <c r="I30" s="9"/>
      <c r="J30" s="14"/>
      <c r="K30" s="52"/>
      <c r="L30" s="53">
        <f>'2.NPV-IRR'!I4</f>
        <v>-9200000000</v>
      </c>
      <c r="M30" s="54"/>
      <c r="N30" s="53"/>
      <c r="O30" s="55"/>
      <c r="P30" s="14"/>
      <c r="Q30" s="14"/>
      <c r="R30" s="14"/>
      <c r="S30" s="14"/>
      <c r="T30" s="14"/>
      <c r="U30" s="14"/>
    </row>
    <row r="31" spans="1:21" hidden="1" x14ac:dyDescent="0.2">
      <c r="A31" s="9"/>
      <c r="B31" s="9"/>
      <c r="C31" s="9"/>
      <c r="D31" s="9"/>
      <c r="E31" s="9"/>
      <c r="F31" s="9"/>
      <c r="G31" s="9"/>
      <c r="H31" s="9"/>
      <c r="I31" s="9"/>
      <c r="J31" s="14"/>
      <c r="K31" s="56">
        <f>+'2.NPV-IRR (2)'!H5</f>
        <v>0</v>
      </c>
      <c r="L31" s="53">
        <f>+'2.NPV-IRR (2)'!I5</f>
        <v>2377093102</v>
      </c>
      <c r="M31" s="442">
        <f>+'2.NPV-IRR (2)'!J5</f>
        <v>0.17009190997161472</v>
      </c>
      <c r="N31" s="53">
        <f>+'2.NPV-IRR (2)'!K5</f>
        <v>-7168456083.0288401</v>
      </c>
      <c r="O31" s="53" t="str">
        <f>+'2.NPV-IRR (2)'!L5</f>
        <v>Loyiha rad etilsin</v>
      </c>
      <c r="P31" s="14"/>
      <c r="Q31" s="14"/>
      <c r="R31" s="14"/>
      <c r="S31" s="14"/>
      <c r="T31" s="14"/>
      <c r="U31" s="14"/>
    </row>
    <row r="32" spans="1:21" hidden="1" x14ac:dyDescent="0.2">
      <c r="A32" s="9"/>
      <c r="B32" s="9"/>
      <c r="C32" s="9"/>
      <c r="D32" s="9"/>
      <c r="E32" s="9"/>
      <c r="F32" s="9"/>
      <c r="G32" s="9"/>
      <c r="H32" s="9"/>
      <c r="I32" s="9"/>
      <c r="J32" s="14"/>
      <c r="K32" s="56">
        <f>+'2.NPV-IRR (2)'!H6</f>
        <v>0</v>
      </c>
      <c r="L32" s="53">
        <f>+'2.NPV-IRR (2)'!I6</f>
        <v>1805615699</v>
      </c>
      <c r="M32" s="442">
        <f>+'2.NPV-IRR (2)'!J6</f>
        <v>0.17009190997161472</v>
      </c>
      <c r="N32" s="53">
        <f>+'2.NPV-IRR (2)'!K6</f>
        <v>-5849636556.2390013</v>
      </c>
      <c r="O32" s="53" t="str">
        <f>+'2.NPV-IRR (2)'!L6</f>
        <v>Loyiha rad etilsin</v>
      </c>
      <c r="P32" s="14"/>
      <c r="Q32" s="14"/>
      <c r="R32" s="14"/>
      <c r="S32" s="14"/>
      <c r="T32" s="14"/>
      <c r="U32" s="14"/>
    </row>
    <row r="33" spans="1:21" hidden="1" x14ac:dyDescent="0.2">
      <c r="A33" s="9"/>
      <c r="B33" s="9"/>
      <c r="C33" s="9"/>
      <c r="D33" s="9"/>
      <c r="E33" s="9"/>
      <c r="F33" s="9"/>
      <c r="G33" s="9"/>
      <c r="H33" s="9"/>
      <c r="I33" s="9"/>
      <c r="J33" s="14"/>
      <c r="K33" s="56">
        <f>+'2.NPV-IRR (2)'!H7</f>
        <v>0</v>
      </c>
      <c r="L33" s="53">
        <f>+'2.NPV-IRR (2)'!I7</f>
        <v>2451935561</v>
      </c>
      <c r="M33" s="442">
        <f>+'2.NPV-IRR (2)'!J7</f>
        <v>0.17009190997161472</v>
      </c>
      <c r="N33" s="53">
        <f>+'2.NPV-IRR (2)'!K7</f>
        <v>-4319080914.8506145</v>
      </c>
      <c r="O33" s="53" t="str">
        <f>+'2.NPV-IRR (2)'!L7</f>
        <v>Loyiha rad etilsin</v>
      </c>
      <c r="P33" s="14"/>
      <c r="Q33" s="14"/>
      <c r="R33" s="14"/>
      <c r="S33" s="14"/>
      <c r="T33" s="14"/>
      <c r="U33" s="14"/>
    </row>
    <row r="34" spans="1:21" hidden="1" x14ac:dyDescent="0.2">
      <c r="A34" s="9"/>
      <c r="B34" s="9"/>
      <c r="C34" s="9"/>
      <c r="D34" s="9"/>
      <c r="E34" s="9"/>
      <c r="F34" s="9"/>
      <c r="G34" s="9"/>
      <c r="H34" s="9"/>
      <c r="I34" s="9"/>
      <c r="J34" s="14"/>
      <c r="K34" s="56">
        <f>+'2.NPV-IRR (2)'!H8</f>
        <v>0</v>
      </c>
      <c r="L34" s="53">
        <f>+'2.NPV-IRR (2)'!I8</f>
        <v>2678947117</v>
      </c>
      <c r="M34" s="442">
        <f>+'2.NPV-IRR (2)'!J8</f>
        <v>0.17009190997161472</v>
      </c>
      <c r="N34" s="53">
        <f>+'2.NPV-IRR (2)'!K8</f>
        <v>-2889909786.7576122</v>
      </c>
      <c r="O34" s="53" t="str">
        <f>+'2.NPV-IRR (2)'!L8</f>
        <v>Loyiha rad etilsin</v>
      </c>
      <c r="P34" s="14"/>
      <c r="Q34" s="14"/>
      <c r="R34" s="14"/>
      <c r="S34" s="14"/>
      <c r="T34" s="14"/>
      <c r="U34" s="14"/>
    </row>
    <row r="35" spans="1:21" hidden="1" x14ac:dyDescent="0.2">
      <c r="A35" s="9"/>
      <c r="B35" s="9"/>
      <c r="C35" s="9"/>
      <c r="D35" s="9"/>
      <c r="E35" s="9"/>
      <c r="F35" s="9"/>
      <c r="G35" s="9"/>
      <c r="H35" s="9"/>
      <c r="I35" s="9"/>
      <c r="J35" s="14"/>
      <c r="K35" s="56">
        <f>+'2.NPV-IRR (2)'!H9</f>
        <v>0</v>
      </c>
      <c r="L35" s="53">
        <f>+'2.NPV-IRR (2)'!I9</f>
        <v>2866085548</v>
      </c>
      <c r="M35" s="442">
        <f>+'2.NPV-IRR (2)'!J9</f>
        <v>0.17009190997161472</v>
      </c>
      <c r="N35" s="53">
        <f>+'2.NPV-IRR (2)'!K9</f>
        <v>-1583169543.780838</v>
      </c>
      <c r="O35" s="53" t="str">
        <f>+'2.NPV-IRR (2)'!L9</f>
        <v>Loyiha rad etilsin</v>
      </c>
      <c r="P35" s="14"/>
      <c r="Q35" s="14"/>
      <c r="R35" s="14"/>
      <c r="S35" s="14"/>
      <c r="T35" s="14"/>
      <c r="U35" s="14"/>
    </row>
    <row r="36" spans="1:21" hidden="1" x14ac:dyDescent="0.2">
      <c r="A36" s="9"/>
      <c r="B36" s="9"/>
      <c r="C36" s="9"/>
      <c r="D36" s="9"/>
      <c r="E36" s="9"/>
      <c r="F36" s="9"/>
      <c r="G36" s="9"/>
      <c r="H36" s="9"/>
      <c r="I36" s="9"/>
      <c r="J36" s="14"/>
      <c r="K36" s="56">
        <f>+'2.NPV-IRR (2)'!H10</f>
        <v>0</v>
      </c>
      <c r="L36" s="53">
        <f>+'2.NPV-IRR (2)'!I10</f>
        <v>3051126205</v>
      </c>
      <c r="M36" s="442">
        <f>+'2.NPV-IRR (2)'!J10</f>
        <v>0.17009190997161472</v>
      </c>
      <c r="N36" s="53">
        <f>+'2.NPV-IRR (2)'!K10</f>
        <v>-394283272.41847038</v>
      </c>
      <c r="O36" s="53" t="str">
        <f>+'2.NPV-IRR (2)'!L10</f>
        <v>Loyiha rad etilsin</v>
      </c>
      <c r="P36" s="14"/>
      <c r="Q36" s="14"/>
      <c r="R36" s="14"/>
      <c r="S36" s="14"/>
      <c r="T36" s="14"/>
      <c r="U36" s="14"/>
    </row>
    <row r="37" spans="1:21" ht="15.75" thickBot="1" x14ac:dyDescent="0.25">
      <c r="A37" s="9"/>
      <c r="B37" s="9"/>
      <c r="C37" s="9"/>
      <c r="D37" s="9"/>
      <c r="E37" s="9"/>
      <c r="F37" s="9"/>
      <c r="G37" s="9"/>
      <c r="H37" s="9"/>
      <c r="I37" s="9"/>
      <c r="J37" s="14"/>
      <c r="K37" s="14"/>
      <c r="L37" s="14"/>
      <c r="M37" s="14"/>
      <c r="N37" s="14"/>
      <c r="O37" s="14"/>
      <c r="P37" s="14"/>
      <c r="Q37" s="14"/>
      <c r="R37" s="14"/>
      <c r="S37" s="14"/>
      <c r="T37" s="14"/>
      <c r="U37" s="14"/>
    </row>
    <row r="38" spans="1:21" s="4" customFormat="1" ht="21" thickBot="1" x14ac:dyDescent="0.25">
      <c r="J38" s="522" t="s">
        <v>58</v>
      </c>
      <c r="K38" s="523"/>
      <c r="L38" s="523"/>
      <c r="M38" s="523"/>
      <c r="N38" s="523"/>
      <c r="O38" s="523"/>
      <c r="P38" s="523"/>
      <c r="Q38" s="523"/>
      <c r="R38" s="523"/>
      <c r="S38" s="523"/>
      <c r="T38" s="523"/>
      <c r="U38" s="524"/>
    </row>
    <row r="39" spans="1:21" ht="31.5" x14ac:dyDescent="0.2">
      <c r="A39" s="9"/>
      <c r="B39" s="9"/>
      <c r="C39" s="9"/>
      <c r="D39" s="9"/>
      <c r="E39" s="9"/>
      <c r="F39" s="9"/>
      <c r="G39" s="9"/>
      <c r="H39" s="9"/>
      <c r="I39" s="9"/>
      <c r="J39" s="57"/>
      <c r="K39" s="58" t="s">
        <v>367</v>
      </c>
      <c r="L39" s="58" t="s">
        <v>60</v>
      </c>
      <c r="M39" s="59" t="s">
        <v>61</v>
      </c>
      <c r="N39" s="58" t="s">
        <v>62</v>
      </c>
      <c r="O39" s="58" t="s">
        <v>63</v>
      </c>
      <c r="P39" s="14"/>
      <c r="Q39" s="14"/>
      <c r="R39" s="14"/>
      <c r="S39" s="14"/>
      <c r="T39" s="14"/>
      <c r="U39" s="14"/>
    </row>
    <row r="40" spans="1:21" ht="78" customHeight="1" x14ac:dyDescent="0.2">
      <c r="J40" s="60">
        <f>'3.Кредит таъминоти'!A6</f>
        <v>1</v>
      </c>
      <c r="K40" s="61" t="str">
        <f>+'3.Кредит таъминоти'!C6</f>
        <v>“NARPAY GREEN HOUS 75” MCHJга тегишли Нарпай тумани, Оқ Олтин МФЙда жойлашган нотурар бино иншоати</v>
      </c>
      <c r="L40" s="62">
        <f>'3.Кредит таъминоти'!E6</f>
        <v>10029645000</v>
      </c>
      <c r="M40" s="62">
        <f>'3.Кредит таъминоти'!I6</f>
        <v>4795151000</v>
      </c>
      <c r="N40" s="62">
        <f>'3.Кредит таъминоти'!F6</f>
        <v>4790000000</v>
      </c>
      <c r="O40" s="484">
        <f>Xulosa!N40/'3.Кредит таъминоти'!$F$9</f>
        <v>1</v>
      </c>
      <c r="P40" s="14"/>
      <c r="Q40" s="14"/>
      <c r="R40" s="14"/>
      <c r="S40" s="14"/>
      <c r="T40" s="14"/>
      <c r="U40" s="14"/>
    </row>
    <row r="41" spans="1:21" ht="45" x14ac:dyDescent="0.2">
      <c r="J41" s="60">
        <v>2</v>
      </c>
      <c r="K41" s="61" t="str">
        <f>+'3.Кредит таъминоти'!C8</f>
        <v>Қўшимча таъминот сифатида “NARPAY GREEN HOUSE 75” МCHJ ва фуқаро Улуғов Шухрат Ҳамдамовичларнинг 6.1 млрд. сўмдан кафилликлари</v>
      </c>
      <c r="L41" s="62">
        <f>'3.Кредит таъминоти'!E8</f>
        <v>0</v>
      </c>
      <c r="M41" s="62">
        <f>L4*125%</f>
        <v>6125000000</v>
      </c>
      <c r="N41" s="62"/>
      <c r="O41" s="484"/>
      <c r="P41" s="14"/>
      <c r="Q41" s="14"/>
      <c r="R41" s="14"/>
      <c r="S41" s="14"/>
      <c r="T41" s="14"/>
      <c r="U41" s="14"/>
    </row>
    <row r="42" spans="1:21" ht="16.5" thickBot="1" x14ac:dyDescent="0.25">
      <c r="J42" s="63"/>
      <c r="K42" s="64" t="s">
        <v>64</v>
      </c>
      <c r="L42" s="65"/>
      <c r="M42" s="65"/>
      <c r="N42" s="65">
        <f>SUM(N40:N41)</f>
        <v>4790000000</v>
      </c>
      <c r="O42" s="66">
        <v>1</v>
      </c>
      <c r="P42" s="14"/>
      <c r="Q42" s="14"/>
      <c r="R42" s="14"/>
      <c r="S42" s="14"/>
      <c r="T42" s="14"/>
      <c r="U42" s="14"/>
    </row>
    <row r="43" spans="1:21" ht="15.75" thickBot="1" x14ac:dyDescent="0.25">
      <c r="J43" s="14"/>
      <c r="K43" s="14"/>
      <c r="L43" s="14"/>
      <c r="M43" s="14"/>
      <c r="N43" s="14"/>
      <c r="O43" s="14"/>
      <c r="P43" s="14"/>
      <c r="Q43" s="14"/>
      <c r="R43" s="14"/>
      <c r="S43" s="14"/>
      <c r="T43" s="14"/>
      <c r="U43" s="14"/>
    </row>
    <row r="44" spans="1:21" s="4" customFormat="1" ht="21" thickBot="1" x14ac:dyDescent="0.25">
      <c r="A44" s="1"/>
      <c r="B44" s="1"/>
      <c r="C44" s="2"/>
      <c r="D44" s="2"/>
      <c r="E44" s="2"/>
      <c r="F44" s="2"/>
      <c r="G44" s="2"/>
      <c r="H44" s="2"/>
      <c r="I44" s="3"/>
      <c r="J44" s="522" t="s">
        <v>65</v>
      </c>
      <c r="K44" s="523"/>
      <c r="L44" s="523"/>
      <c r="M44" s="523"/>
      <c r="N44" s="523"/>
      <c r="O44" s="523"/>
      <c r="P44" s="523"/>
      <c r="Q44" s="523"/>
      <c r="R44" s="523"/>
      <c r="S44" s="523"/>
      <c r="T44" s="523"/>
      <c r="U44" s="524"/>
    </row>
    <row r="45" spans="1:21" ht="16.5" thickBot="1" x14ac:dyDescent="0.25">
      <c r="J45" s="67"/>
      <c r="N45" s="14"/>
      <c r="O45" s="14"/>
      <c r="P45" s="14"/>
      <c r="Q45" s="14"/>
      <c r="R45" s="14"/>
      <c r="S45" s="14"/>
      <c r="T45" s="14"/>
      <c r="U45" s="14"/>
    </row>
    <row r="46" spans="1:21" ht="15.75" x14ac:dyDescent="0.25">
      <c r="J46" s="69"/>
      <c r="K46" s="525" t="s">
        <v>66</v>
      </c>
      <c r="L46" s="526"/>
      <c r="M46" s="527"/>
      <c r="N46" s="14"/>
      <c r="O46" s="14"/>
      <c r="P46" s="14"/>
      <c r="Q46" s="14"/>
      <c r="R46" s="14"/>
      <c r="S46" s="14"/>
      <c r="T46" s="14"/>
      <c r="U46" s="14"/>
    </row>
    <row r="47" spans="1:21" ht="31.5" x14ac:dyDescent="0.2">
      <c r="J47" s="69"/>
      <c r="K47" s="70" t="s">
        <v>67</v>
      </c>
      <c r="L47" s="71" t="s">
        <v>66</v>
      </c>
      <c r="M47" s="72" t="s">
        <v>68</v>
      </c>
      <c r="N47" s="14"/>
      <c r="O47" s="14"/>
      <c r="P47" s="14"/>
      <c r="Q47" s="14"/>
      <c r="R47" s="14"/>
      <c r="S47" s="14"/>
      <c r="T47" s="14"/>
      <c r="U47" s="14"/>
    </row>
    <row r="48" spans="1:21" ht="16.5" thickBot="1" x14ac:dyDescent="0.25">
      <c r="J48" s="69"/>
      <c r="K48" s="73">
        <f>'5. ҲР айланма ва қарз юки'!D19</f>
        <v>58049970.413736269</v>
      </c>
      <c r="L48" s="74">
        <f>'5. ҲР айланма ва қарз юки'!E19</f>
        <v>139929680.37</v>
      </c>
      <c r="M48" s="75">
        <f>+L48/K48</f>
        <v>2.4105039050440009</v>
      </c>
      <c r="N48" s="14"/>
      <c r="O48" s="14"/>
      <c r="P48" s="14"/>
      <c r="Q48" s="14"/>
      <c r="R48" s="14"/>
      <c r="S48" s="14"/>
      <c r="T48" s="14"/>
      <c r="U48" s="14"/>
    </row>
    <row r="49" spans="1:21" ht="16.5" thickBot="1" x14ac:dyDescent="0.25">
      <c r="J49" s="69"/>
      <c r="N49" s="14"/>
      <c r="O49" s="14"/>
      <c r="P49" s="14"/>
      <c r="Q49" s="14"/>
      <c r="R49" s="14"/>
      <c r="S49" s="14"/>
      <c r="T49" s="14"/>
      <c r="U49" s="14"/>
    </row>
    <row r="50" spans="1:21" s="4" customFormat="1" ht="21" thickBot="1" x14ac:dyDescent="0.25">
      <c r="A50" s="1"/>
      <c r="B50" s="1"/>
      <c r="C50" s="2"/>
      <c r="D50" s="2"/>
      <c r="E50" s="2"/>
      <c r="F50" s="2"/>
      <c r="G50" s="2"/>
      <c r="H50" s="2"/>
      <c r="I50" s="3"/>
      <c r="J50" s="522" t="s">
        <v>69</v>
      </c>
      <c r="K50" s="523"/>
      <c r="L50" s="523"/>
      <c r="M50" s="523"/>
      <c r="N50" s="523"/>
      <c r="O50" s="523"/>
      <c r="P50" s="523"/>
      <c r="Q50" s="523"/>
      <c r="R50" s="523"/>
      <c r="S50" s="523"/>
      <c r="T50" s="523"/>
      <c r="U50" s="524"/>
    </row>
    <row r="51" spans="1:21" ht="15.75" thickBot="1" x14ac:dyDescent="0.25">
      <c r="J51" s="14"/>
      <c r="K51" s="14"/>
      <c r="L51" s="14"/>
      <c r="M51" s="14"/>
      <c r="N51" s="14"/>
      <c r="O51" s="14"/>
      <c r="P51" s="14"/>
      <c r="Q51" s="14"/>
      <c r="R51" s="14"/>
      <c r="S51" s="14"/>
      <c r="T51" s="14"/>
      <c r="U51" s="14"/>
    </row>
    <row r="52" spans="1:21" ht="31.5" x14ac:dyDescent="0.2">
      <c r="J52" s="14"/>
      <c r="K52" s="76" t="s">
        <v>37</v>
      </c>
      <c r="L52" s="77" t="s">
        <v>70</v>
      </c>
      <c r="M52" s="14"/>
      <c r="N52" s="14"/>
      <c r="O52" s="14"/>
      <c r="P52" s="14"/>
      <c r="Q52" s="14"/>
      <c r="R52" s="14"/>
      <c r="S52" s="14"/>
      <c r="T52" s="14"/>
      <c r="U52" s="14"/>
    </row>
    <row r="53" spans="1:21" s="83" customFormat="1" ht="15.75" x14ac:dyDescent="0.2">
      <c r="A53" s="78"/>
      <c r="B53" s="78"/>
      <c r="C53" s="79"/>
      <c r="D53" s="79"/>
      <c r="E53" s="79"/>
      <c r="F53" s="79"/>
      <c r="G53" s="79"/>
      <c r="H53" s="79"/>
      <c r="I53" s="80"/>
      <c r="J53" s="14"/>
      <c r="K53" s="81" t="s">
        <v>71</v>
      </c>
      <c r="L53" s="82">
        <f>+'1.Moliyaviy natijalar'!B17</f>
        <v>8</v>
      </c>
      <c r="M53" s="14"/>
      <c r="N53" s="14"/>
      <c r="O53" s="14"/>
      <c r="P53" s="14"/>
      <c r="Q53" s="14"/>
      <c r="R53" s="14"/>
      <c r="S53" s="14"/>
      <c r="T53" s="14"/>
      <c r="U53" s="14"/>
    </row>
    <row r="54" spans="1:21" s="83" customFormat="1" ht="15.75" x14ac:dyDescent="0.2">
      <c r="A54" s="78"/>
      <c r="B54" s="78"/>
      <c r="C54" s="79"/>
      <c r="D54" s="79"/>
      <c r="E54" s="79"/>
      <c r="F54" s="79"/>
      <c r="G54" s="79"/>
      <c r="H54" s="79"/>
      <c r="I54" s="80"/>
      <c r="J54" s="14"/>
      <c r="K54" s="84" t="s">
        <v>52</v>
      </c>
      <c r="L54" s="82">
        <f>+'2.NPV-IRR (2)'!A17</f>
        <v>10</v>
      </c>
      <c r="M54" s="14"/>
      <c r="N54" s="14"/>
      <c r="O54" s="14"/>
      <c r="P54" s="14"/>
      <c r="Q54" s="14"/>
      <c r="R54" s="14"/>
      <c r="S54" s="14"/>
      <c r="T54" s="14"/>
      <c r="U54" s="14"/>
    </row>
    <row r="55" spans="1:21" s="83" customFormat="1" ht="15.75" x14ac:dyDescent="0.2">
      <c r="A55" s="78"/>
      <c r="B55" s="78"/>
      <c r="C55" s="79"/>
      <c r="D55" s="79"/>
      <c r="E55" s="79"/>
      <c r="F55" s="79"/>
      <c r="G55" s="79"/>
      <c r="H55" s="79"/>
      <c r="I55" s="80"/>
      <c r="J55" s="14"/>
      <c r="K55" s="81" t="s">
        <v>58</v>
      </c>
      <c r="L55" s="82">
        <f>'3.Кредит таъминоти'!B35</f>
        <v>6</v>
      </c>
      <c r="M55" s="14"/>
      <c r="N55" s="14"/>
      <c r="O55" s="14"/>
      <c r="P55" s="14"/>
      <c r="Q55" s="14"/>
      <c r="R55" s="14"/>
      <c r="S55" s="14"/>
      <c r="T55" s="14"/>
      <c r="U55" s="14"/>
    </row>
    <row r="56" spans="1:21" ht="15.75" x14ac:dyDescent="0.2">
      <c r="J56" s="14"/>
      <c r="K56" s="81" t="s">
        <v>72</v>
      </c>
      <c r="L56" s="85">
        <f>'4. Кредит тарихи'!A21</f>
        <v>6</v>
      </c>
      <c r="M56" s="14"/>
      <c r="N56" s="14"/>
      <c r="O56" s="14"/>
      <c r="P56" s="14"/>
      <c r="Q56" s="14"/>
      <c r="R56" s="14"/>
      <c r="S56" s="14"/>
      <c r="T56" s="14"/>
      <c r="U56" s="14"/>
    </row>
    <row r="57" spans="1:21" s="83" customFormat="1" ht="15.75" x14ac:dyDescent="0.2">
      <c r="A57" s="78"/>
      <c r="B57" s="78"/>
      <c r="C57" s="79"/>
      <c r="D57" s="79"/>
      <c r="E57" s="79"/>
      <c r="F57" s="79"/>
      <c r="G57" s="79"/>
      <c r="H57" s="79"/>
      <c r="I57" s="80"/>
      <c r="J57" s="14"/>
      <c r="K57" s="81" t="s">
        <v>65</v>
      </c>
      <c r="L57" s="85">
        <f>'5. ҲР айланма ва қарз юки'!B26</f>
        <v>3</v>
      </c>
      <c r="M57" s="14"/>
      <c r="N57" s="14"/>
      <c r="O57" s="14"/>
      <c r="P57" s="14"/>
      <c r="Q57" s="14"/>
      <c r="R57" s="14"/>
      <c r="S57" s="14"/>
      <c r="T57" s="14"/>
      <c r="U57" s="14"/>
    </row>
    <row r="58" spans="1:21" ht="16.5" thickBot="1" x14ac:dyDescent="0.25">
      <c r="J58" s="14"/>
      <c r="K58" s="86" t="s">
        <v>73</v>
      </c>
      <c r="L58" s="472">
        <f>SUM(L53:L57)</f>
        <v>33</v>
      </c>
      <c r="M58" s="14"/>
      <c r="N58" s="14"/>
      <c r="O58" s="14"/>
      <c r="P58" s="14"/>
      <c r="Q58" s="14"/>
      <c r="R58" s="14"/>
      <c r="S58" s="14"/>
      <c r="T58" s="14"/>
      <c r="U58" s="14"/>
    </row>
    <row r="59" spans="1:21" ht="15.75" thickBot="1" x14ac:dyDescent="0.25">
      <c r="J59" s="14"/>
      <c r="K59" s="14"/>
      <c r="L59" s="14"/>
      <c r="M59" s="14"/>
      <c r="N59" s="14"/>
      <c r="O59" s="14"/>
      <c r="P59" s="14"/>
      <c r="Q59" s="14"/>
      <c r="R59" s="14"/>
      <c r="S59" s="14"/>
      <c r="T59" s="14"/>
      <c r="U59" s="14"/>
    </row>
    <row r="60" spans="1:21" ht="16.5" thickBot="1" x14ac:dyDescent="0.25">
      <c r="J60" s="14"/>
      <c r="K60" s="528" t="s">
        <v>74</v>
      </c>
      <c r="L60" s="529"/>
      <c r="M60" s="14"/>
      <c r="N60" s="14"/>
      <c r="O60" s="14"/>
      <c r="P60" s="14"/>
      <c r="Q60" s="14"/>
      <c r="R60" s="14"/>
      <c r="S60" s="14"/>
      <c r="T60" s="14"/>
      <c r="U60" s="14"/>
    </row>
    <row r="61" spans="1:21" ht="16.5" thickBot="1" x14ac:dyDescent="0.25">
      <c r="J61" s="14"/>
      <c r="K61" s="542" t="s">
        <v>75</v>
      </c>
      <c r="L61" s="543"/>
      <c r="M61" s="14"/>
      <c r="N61" s="14"/>
      <c r="O61" s="14"/>
      <c r="P61" s="14"/>
      <c r="Q61" s="14"/>
      <c r="R61" s="14"/>
      <c r="S61" s="14"/>
      <c r="T61" s="14"/>
      <c r="U61" s="14"/>
    </row>
    <row r="62" spans="1:21" ht="15.75" x14ac:dyDescent="0.2">
      <c r="J62" s="14"/>
      <c r="K62" s="528" t="s">
        <v>76</v>
      </c>
      <c r="L62" s="529"/>
      <c r="M62" s="14"/>
      <c r="N62" s="14"/>
      <c r="O62" s="14"/>
      <c r="P62" s="14"/>
      <c r="Q62" s="14"/>
      <c r="R62" s="14"/>
      <c r="S62" s="14"/>
      <c r="T62" s="14"/>
      <c r="U62" s="14"/>
    </row>
    <row r="63" spans="1:21" ht="15.75" x14ac:dyDescent="0.2">
      <c r="J63" s="14"/>
      <c r="K63" s="520" t="s">
        <v>77</v>
      </c>
      <c r="L63" s="521"/>
      <c r="M63" s="14"/>
      <c r="N63" s="14"/>
      <c r="O63" s="14"/>
      <c r="P63" s="14"/>
      <c r="Q63" s="14"/>
      <c r="R63" s="14"/>
      <c r="S63" s="14"/>
      <c r="T63" s="14"/>
      <c r="U63" s="14"/>
    </row>
    <row r="70" spans="1:21" x14ac:dyDescent="0.2">
      <c r="A70" s="9"/>
      <c r="B70" s="9"/>
      <c r="C70" s="9"/>
      <c r="D70" s="9"/>
      <c r="E70" s="9"/>
      <c r="F70" s="9"/>
      <c r="G70" s="9"/>
      <c r="H70" s="9"/>
      <c r="I70" s="9"/>
      <c r="J70" s="9"/>
      <c r="K70" s="9"/>
      <c r="L70" s="9"/>
      <c r="M70" s="9"/>
      <c r="N70" s="9"/>
      <c r="O70" s="9"/>
      <c r="P70" s="9"/>
      <c r="Q70" s="9"/>
      <c r="R70" s="9"/>
      <c r="S70" s="9"/>
      <c r="T70" s="9"/>
      <c r="U70" s="9"/>
    </row>
    <row r="71" spans="1:21" x14ac:dyDescent="0.2">
      <c r="A71" s="9"/>
      <c r="B71" s="9"/>
      <c r="C71" s="9"/>
      <c r="D71" s="9"/>
      <c r="E71" s="9"/>
      <c r="F71" s="9"/>
      <c r="G71" s="9"/>
      <c r="H71" s="9"/>
      <c r="I71" s="9"/>
      <c r="J71" s="9"/>
      <c r="K71" s="9"/>
      <c r="L71" s="9"/>
      <c r="M71" s="9"/>
      <c r="N71" s="9"/>
      <c r="O71" s="9"/>
      <c r="P71" s="9"/>
      <c r="Q71" s="9"/>
      <c r="R71" s="9"/>
      <c r="S71" s="9"/>
      <c r="T71" s="9"/>
      <c r="U71" s="9"/>
    </row>
    <row r="72" spans="1:21" x14ac:dyDescent="0.2">
      <c r="A72" s="9"/>
      <c r="B72" s="9"/>
      <c r="C72" s="9"/>
      <c r="D72" s="9"/>
      <c r="E72" s="9"/>
      <c r="F72" s="9"/>
      <c r="G72" s="9"/>
      <c r="H72" s="9"/>
      <c r="I72" s="9"/>
      <c r="J72" s="9"/>
      <c r="K72" s="9"/>
      <c r="L72" s="9"/>
      <c r="M72" s="9"/>
      <c r="N72" s="9"/>
      <c r="O72" s="9"/>
      <c r="P72" s="9"/>
      <c r="Q72" s="9"/>
      <c r="R72" s="9"/>
      <c r="S72" s="9"/>
      <c r="T72" s="9"/>
      <c r="U72" s="9"/>
    </row>
    <row r="73" spans="1:21" x14ac:dyDescent="0.2">
      <c r="A73" s="9"/>
      <c r="B73" s="9"/>
      <c r="C73" s="9"/>
      <c r="D73" s="9"/>
      <c r="E73" s="9"/>
      <c r="F73" s="9"/>
      <c r="G73" s="9"/>
      <c r="H73" s="9"/>
      <c r="I73" s="9"/>
      <c r="J73" s="9"/>
      <c r="K73" s="9"/>
      <c r="L73" s="9"/>
      <c r="M73" s="9"/>
      <c r="N73" s="9"/>
      <c r="O73" s="9"/>
      <c r="P73" s="9"/>
      <c r="Q73" s="9"/>
      <c r="R73" s="9"/>
      <c r="S73" s="9"/>
      <c r="T73" s="9"/>
      <c r="U73" s="9"/>
    </row>
    <row r="74" spans="1:21" x14ac:dyDescent="0.2">
      <c r="A74" s="9"/>
      <c r="B74" s="9"/>
      <c r="C74" s="9"/>
      <c r="D74" s="9"/>
      <c r="E74" s="9"/>
      <c r="F74" s="9"/>
      <c r="G74" s="9"/>
      <c r="H74" s="9"/>
      <c r="I74" s="9"/>
      <c r="J74" s="9"/>
      <c r="K74" s="9"/>
      <c r="L74" s="9"/>
      <c r="M74" s="9"/>
      <c r="N74" s="9"/>
      <c r="O74" s="9"/>
      <c r="P74" s="9"/>
      <c r="Q74" s="9"/>
      <c r="R74" s="9"/>
      <c r="S74" s="9"/>
      <c r="T74" s="9"/>
      <c r="U74" s="9"/>
    </row>
    <row r="75" spans="1:21" x14ac:dyDescent="0.2">
      <c r="A75" s="9"/>
      <c r="B75" s="9"/>
      <c r="C75" s="9"/>
      <c r="D75" s="9"/>
      <c r="E75" s="9"/>
      <c r="F75" s="9"/>
      <c r="G75" s="9"/>
      <c r="H75" s="9"/>
      <c r="I75" s="9"/>
      <c r="J75" s="9"/>
      <c r="K75" s="9"/>
      <c r="L75" s="9"/>
      <c r="M75" s="9"/>
      <c r="N75" s="9"/>
      <c r="O75" s="9"/>
      <c r="P75" s="9"/>
      <c r="Q75" s="9"/>
      <c r="R75" s="9"/>
      <c r="S75" s="9"/>
      <c r="T75" s="9"/>
      <c r="U75" s="9"/>
    </row>
    <row r="76" spans="1:21" x14ac:dyDescent="0.2">
      <c r="A76" s="9"/>
      <c r="B76" s="9"/>
      <c r="C76" s="9"/>
      <c r="D76" s="9"/>
      <c r="E76" s="9"/>
      <c r="F76" s="9"/>
      <c r="G76" s="9"/>
      <c r="H76" s="9"/>
      <c r="I76" s="9"/>
      <c r="J76" s="9"/>
      <c r="K76" s="9"/>
      <c r="L76" s="9"/>
      <c r="M76" s="9"/>
      <c r="N76" s="9"/>
      <c r="O76" s="9"/>
      <c r="P76" s="9"/>
      <c r="Q76" s="9"/>
      <c r="R76" s="9"/>
      <c r="S76" s="9"/>
      <c r="T76" s="9"/>
      <c r="U76" s="9"/>
    </row>
    <row r="77" spans="1:21" x14ac:dyDescent="0.2">
      <c r="A77" s="9"/>
      <c r="B77" s="9"/>
      <c r="C77" s="9"/>
      <c r="D77" s="9"/>
      <c r="E77" s="9"/>
      <c r="F77" s="9"/>
      <c r="G77" s="9"/>
      <c r="H77" s="9"/>
      <c r="I77" s="9"/>
      <c r="J77" s="9"/>
      <c r="K77" s="9"/>
      <c r="L77" s="9"/>
      <c r="M77" s="9"/>
      <c r="N77" s="9"/>
      <c r="O77" s="9"/>
      <c r="P77" s="9"/>
      <c r="Q77" s="9"/>
      <c r="R77" s="9"/>
      <c r="S77" s="9"/>
      <c r="T77" s="9"/>
      <c r="U77" s="9"/>
    </row>
    <row r="78" spans="1:21" x14ac:dyDescent="0.2">
      <c r="A78" s="9"/>
      <c r="B78" s="9"/>
      <c r="C78" s="9"/>
      <c r="D78" s="9"/>
      <c r="E78" s="9"/>
      <c r="F78" s="9"/>
      <c r="G78" s="9"/>
      <c r="H78" s="9"/>
      <c r="I78" s="9"/>
      <c r="J78" s="9"/>
      <c r="K78" s="9"/>
      <c r="L78" s="9"/>
      <c r="M78" s="9"/>
      <c r="N78" s="9"/>
      <c r="O78" s="9"/>
      <c r="P78" s="9"/>
      <c r="Q78" s="9"/>
      <c r="R78" s="9"/>
      <c r="S78" s="9"/>
      <c r="T78" s="9"/>
      <c r="U78" s="9"/>
    </row>
    <row r="79" spans="1:21" x14ac:dyDescent="0.2">
      <c r="A79" s="9"/>
      <c r="B79" s="9"/>
      <c r="C79" s="9"/>
      <c r="D79" s="9"/>
      <c r="E79" s="9"/>
      <c r="F79" s="9"/>
      <c r="G79" s="9"/>
      <c r="H79" s="9"/>
      <c r="I79" s="9"/>
      <c r="J79" s="9"/>
      <c r="K79" s="9"/>
      <c r="L79" s="9"/>
      <c r="M79" s="9"/>
      <c r="N79" s="9"/>
      <c r="O79" s="9"/>
      <c r="P79" s="9"/>
      <c r="Q79" s="9"/>
      <c r="R79" s="9"/>
      <c r="S79" s="9"/>
      <c r="T79" s="9"/>
      <c r="U79" s="9"/>
    </row>
    <row r="80" spans="1:21" x14ac:dyDescent="0.2">
      <c r="A80" s="9"/>
      <c r="B80" s="9"/>
      <c r="C80" s="9"/>
      <c r="D80" s="9"/>
      <c r="E80" s="9"/>
      <c r="F80" s="9"/>
      <c r="G80" s="9"/>
      <c r="H80" s="9"/>
      <c r="I80" s="9"/>
      <c r="J80" s="9"/>
      <c r="K80" s="9"/>
      <c r="L80" s="9"/>
      <c r="M80" s="9"/>
      <c r="N80" s="9"/>
      <c r="O80" s="9"/>
      <c r="P80" s="9"/>
      <c r="Q80" s="9"/>
      <c r="R80" s="9"/>
      <c r="S80" s="9"/>
      <c r="T80" s="9"/>
      <c r="U80" s="9"/>
    </row>
    <row r="81" spans="1:21" x14ac:dyDescent="0.2">
      <c r="A81" s="9"/>
      <c r="B81" s="9"/>
      <c r="C81" s="9"/>
      <c r="D81" s="9"/>
      <c r="E81" s="9"/>
      <c r="F81" s="9"/>
      <c r="G81" s="9"/>
      <c r="H81" s="9"/>
      <c r="I81" s="9"/>
      <c r="J81" s="9"/>
      <c r="K81" s="9"/>
      <c r="L81" s="9"/>
      <c r="M81" s="9"/>
      <c r="N81" s="9"/>
      <c r="O81" s="9"/>
      <c r="P81" s="9"/>
      <c r="Q81" s="9"/>
      <c r="R81" s="9"/>
      <c r="S81" s="9"/>
      <c r="T81" s="9"/>
      <c r="U81" s="9"/>
    </row>
    <row r="82" spans="1:21" x14ac:dyDescent="0.2">
      <c r="A82" s="9"/>
      <c r="B82" s="9"/>
      <c r="C82" s="9"/>
      <c r="D82" s="9"/>
      <c r="E82" s="9"/>
      <c r="F82" s="9"/>
      <c r="G82" s="9"/>
      <c r="H82" s="9"/>
      <c r="I82" s="9"/>
      <c r="J82" s="9"/>
      <c r="K82" s="9"/>
      <c r="L82" s="9"/>
      <c r="M82" s="9"/>
      <c r="N82" s="9"/>
      <c r="O82" s="9"/>
      <c r="P82" s="9"/>
      <c r="Q82" s="9"/>
      <c r="R82" s="9"/>
      <c r="S82" s="9"/>
      <c r="T82" s="9"/>
      <c r="U82" s="9"/>
    </row>
    <row r="83" spans="1:21" x14ac:dyDescent="0.2">
      <c r="A83" s="9"/>
      <c r="B83" s="9"/>
      <c r="C83" s="9"/>
      <c r="D83" s="9"/>
      <c r="E83" s="9"/>
      <c r="F83" s="9"/>
      <c r="G83" s="9"/>
      <c r="H83" s="9"/>
      <c r="I83" s="9"/>
      <c r="J83" s="9"/>
      <c r="K83" s="9"/>
      <c r="L83" s="9"/>
      <c r="M83" s="9"/>
      <c r="N83" s="9"/>
      <c r="O83" s="9"/>
      <c r="P83" s="9"/>
      <c r="Q83" s="9"/>
      <c r="R83" s="9"/>
      <c r="S83" s="9"/>
      <c r="T83" s="9"/>
      <c r="U83" s="9"/>
    </row>
    <row r="84" spans="1:21" x14ac:dyDescent="0.2">
      <c r="A84" s="9"/>
      <c r="B84" s="9"/>
      <c r="C84" s="9"/>
      <c r="D84" s="9"/>
      <c r="E84" s="9"/>
      <c r="F84" s="9"/>
      <c r="G84" s="9"/>
      <c r="H84" s="9"/>
      <c r="I84" s="9"/>
      <c r="J84" s="9"/>
      <c r="K84" s="9"/>
      <c r="L84" s="9"/>
      <c r="M84" s="9"/>
      <c r="N84" s="9"/>
      <c r="O84" s="9"/>
      <c r="P84" s="9"/>
      <c r="Q84" s="9"/>
      <c r="R84" s="9"/>
      <c r="S84" s="9"/>
      <c r="T84" s="9"/>
      <c r="U84" s="9"/>
    </row>
    <row r="85" spans="1:21" x14ac:dyDescent="0.2">
      <c r="A85" s="9"/>
      <c r="B85" s="9"/>
      <c r="C85" s="9"/>
      <c r="D85" s="9"/>
      <c r="E85" s="9"/>
      <c r="F85" s="9"/>
      <c r="G85" s="9"/>
      <c r="H85" s="9"/>
      <c r="I85" s="9"/>
      <c r="J85" s="9"/>
      <c r="K85" s="9"/>
      <c r="L85" s="9"/>
      <c r="M85" s="9"/>
      <c r="N85" s="9"/>
      <c r="O85" s="9"/>
      <c r="P85" s="9"/>
      <c r="Q85" s="9"/>
      <c r="R85" s="9"/>
      <c r="S85" s="9"/>
      <c r="T85" s="9"/>
      <c r="U85" s="9"/>
    </row>
    <row r="86" spans="1:21" x14ac:dyDescent="0.2">
      <c r="A86" s="9"/>
      <c r="B86" s="9"/>
      <c r="C86" s="9"/>
      <c r="D86" s="9"/>
      <c r="E86" s="9"/>
      <c r="F86" s="9"/>
      <c r="G86" s="9"/>
      <c r="H86" s="9"/>
      <c r="I86" s="9"/>
      <c r="J86" s="9"/>
      <c r="K86" s="9"/>
      <c r="L86" s="9"/>
      <c r="M86" s="9"/>
      <c r="N86" s="9"/>
      <c r="O86" s="9"/>
      <c r="P86" s="9"/>
      <c r="Q86" s="9"/>
      <c r="R86" s="9"/>
      <c r="S86" s="9"/>
      <c r="T86" s="9"/>
      <c r="U86" s="9"/>
    </row>
  </sheetData>
  <sheetProtection formatCells="0" formatColumns="0" formatRows="0" insertColumns="0" insertRows="0" insertHyperlinks="0" deleteColumns="0" deleteRows="0" sort="0" autoFilter="0" pivotTables="0"/>
  <dataConsolidate function="product" topLabels="1">
    <dataRefs count="1">
      <dataRef ref="J20" sheet="Xulosa" r:id="rId1"/>
    </dataRefs>
  </dataConsolidate>
  <mergeCells count="28">
    <mergeCell ref="R17:S17"/>
    <mergeCell ref="T17:U17"/>
    <mergeCell ref="R13:S13"/>
    <mergeCell ref="T13:U13"/>
    <mergeCell ref="K1:U1"/>
    <mergeCell ref="Q2:R2"/>
    <mergeCell ref="J9:U9"/>
    <mergeCell ref="R12:S12"/>
    <mergeCell ref="T12:U12"/>
    <mergeCell ref="R14:S14"/>
    <mergeCell ref="T14:U14"/>
    <mergeCell ref="R15:S15"/>
    <mergeCell ref="T15:U15"/>
    <mergeCell ref="R16:S16"/>
    <mergeCell ref="T16:U16"/>
    <mergeCell ref="K18:M19"/>
    <mergeCell ref="R21:T21"/>
    <mergeCell ref="R22:T22"/>
    <mergeCell ref="K61:L61"/>
    <mergeCell ref="K62:L62"/>
    <mergeCell ref="R23:T23"/>
    <mergeCell ref="K63:L63"/>
    <mergeCell ref="J28:U28"/>
    <mergeCell ref="J38:U38"/>
    <mergeCell ref="J44:U44"/>
    <mergeCell ref="K46:M46"/>
    <mergeCell ref="J50:U50"/>
    <mergeCell ref="K60:L60"/>
  </mergeCells>
  <conditionalFormatting sqref="S64:S66">
    <cfRule type="colorScale" priority="9">
      <colorScale>
        <cfvo type="min"/>
        <cfvo type="percentile" val="50"/>
        <cfvo type="max"/>
        <color rgb="FFF8696B"/>
        <color rgb="FFFCFCFF"/>
        <color rgb="FF63BE7B"/>
      </colorScale>
    </cfRule>
  </conditionalFormatting>
  <conditionalFormatting sqref="S70:S74">
    <cfRule type="colorScale" priority="8">
      <colorScale>
        <cfvo type="min"/>
        <cfvo type="percentile" val="50"/>
        <cfvo type="max"/>
        <color rgb="FFF8696B"/>
        <color rgb="FFFCFCFF"/>
        <color rgb="FF63BE7B"/>
      </colorScale>
    </cfRule>
  </conditionalFormatting>
  <conditionalFormatting sqref="S78:S82">
    <cfRule type="colorScale" priority="7">
      <colorScale>
        <cfvo type="min"/>
        <cfvo type="percentile" val="50"/>
        <cfvo type="max"/>
        <color rgb="FFF8696B"/>
        <color rgb="FFFCFCFF"/>
        <color rgb="FF63BE7B"/>
      </colorScale>
    </cfRule>
  </conditionalFormatting>
  <conditionalFormatting sqref="S86:S90">
    <cfRule type="colorScale" priority="6">
      <colorScale>
        <cfvo type="min"/>
        <cfvo type="percentile" val="50"/>
        <cfvo type="max"/>
        <color rgb="FFF8696B"/>
        <color rgb="FFFCFCFF"/>
        <color rgb="FF63BE7B"/>
      </colorScale>
    </cfRule>
  </conditionalFormatting>
  <conditionalFormatting sqref="S86:S90">
    <cfRule type="colorScale" priority="5">
      <colorScale>
        <cfvo type="min"/>
        <cfvo type="percentile" val="50"/>
        <cfvo type="max"/>
        <color rgb="FFF8696B"/>
        <color rgb="FFFCFCFF"/>
        <color rgb="FF63BE7B"/>
      </colorScale>
    </cfRule>
  </conditionalFormatting>
  <conditionalFormatting sqref="S94:S98">
    <cfRule type="colorScale" priority="4">
      <colorScale>
        <cfvo type="min"/>
        <cfvo type="percentile" val="50"/>
        <cfvo type="max"/>
        <color rgb="FFF8696B"/>
        <color rgb="FFFCFCFF"/>
        <color rgb="FF63BE7B"/>
      </colorScale>
    </cfRule>
  </conditionalFormatting>
  <conditionalFormatting sqref="M41">
    <cfRule type="iconSet" priority="1">
      <iconSet iconSet="3Symbols">
        <cfvo type="percent" val="0"/>
        <cfvo type="num" val="0"/>
        <cfvo type="num" val="0"/>
      </iconSet>
    </cfRule>
  </conditionalFormatting>
  <conditionalFormatting sqref="M40">
    <cfRule type="cellIs" dxfId="6" priority="84" operator="greaterThan">
      <formula>#REF!</formula>
    </cfRule>
    <cfRule type="iconSet" priority="85">
      <iconSet iconSet="3Symbols">
        <cfvo type="percent" val="0"/>
        <cfvo type="num" val="0"/>
        <cfvo type="num" val="0"/>
      </iconSet>
    </cfRule>
  </conditionalFormatting>
  <conditionalFormatting sqref="L40:L41 N40:N41">
    <cfRule type="iconSet" priority="86">
      <iconSet iconSet="3Symbols">
        <cfvo type="percent" val="0"/>
        <cfvo type="num" val="0"/>
        <cfvo type="num" val="0"/>
      </iconSet>
    </cfRule>
  </conditionalFormatting>
  <pageMargins left="0.23622047244094491" right="0.23622047244094491" top="0.55118110236220474" bottom="0.55118110236220474" header="0.31496062992125984" footer="0.31496062992125984"/>
  <pageSetup paperSize="9" scale="39" fitToHeight="0" orientation="landscape" r:id="rId2"/>
  <extLst>
    <ext xmlns:x14="http://schemas.microsoft.com/office/spreadsheetml/2009/9/main" uri="{78C0D931-6437-407d-A8EE-F0AAD7539E65}">
      <x14:conditionalFormattings>
        <x14:conditionalFormatting xmlns:xm="http://schemas.microsoft.com/office/excel/2006/main">
          <x14:cfRule type="expression" priority="3" id="{CE88024A-2355-452F-B7DF-A423DA47941E}">
            <xm:f>'C:\1. Jamshid-18.09.2024\6. Metodologiyalar yozish\Yangi\[“Check List”.xlsx]Анкета'!#REF!=4</xm:f>
            <x14:dxf>
              <font>
                <color theme="6" tint="0.79998168889431442"/>
              </font>
              <fill>
                <patternFill>
                  <bgColor theme="6" tint="0.79998168889431442"/>
                </patternFill>
              </fill>
              <border>
                <left/>
                <right/>
                <top/>
                <bottom/>
              </border>
            </x14:dxf>
          </x14:cfRule>
          <xm:sqref>K7</xm:sqref>
        </x14:conditionalFormatting>
        <x14:conditionalFormatting xmlns:xm="http://schemas.microsoft.com/office/excel/2006/main">
          <x14:cfRule type="expression" priority="2" id="{6B988DA6-C919-495D-BDCB-A94E06664052}">
            <xm:f>'C:\1. Jamshid-18.09.2024\6. Metodologiyalar yozish\Yangi\[“Check List”.xlsx]Анкета'!#REF!=5</xm:f>
            <x14:dxf>
              <font>
                <color theme="6" tint="0.79998168889431442"/>
              </font>
              <fill>
                <patternFill>
                  <bgColor theme="6" tint="0.79998168889431442"/>
                </patternFill>
              </fill>
              <border>
                <left/>
                <right/>
                <top/>
                <bottom/>
                <vertical/>
                <horizontal/>
              </border>
            </x14:dxf>
          </x14:cfRule>
          <xm:sqref>K7</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'D:\1. Jamshid-18.09.2024\6. Metodologiyalar yozish\Yangi\[“Check List”.xlsx]Справочник'!#REF!</xm:f>
          </x14:formula1>
          <xm:sqref>O51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AG49"/>
  <sheetViews>
    <sheetView view="pageBreakPreview" zoomScale="70" zoomScaleNormal="70" zoomScaleSheetLayoutView="70" workbookViewId="0">
      <selection activeCell="A2" sqref="A2:C2"/>
    </sheetView>
  </sheetViews>
  <sheetFormatPr defaultColWidth="9.140625" defaultRowHeight="45" customHeight="1" x14ac:dyDescent="0.25"/>
  <cols>
    <col min="1" max="1" width="55.7109375" style="94" bestFit="1" customWidth="1"/>
    <col min="2" max="2" width="12.7109375" style="94" customWidth="1"/>
    <col min="3" max="3" width="32.85546875" style="94" bestFit="1" customWidth="1"/>
    <col min="4" max="4" width="5.5703125" style="94" customWidth="1"/>
    <col min="5" max="5" width="50.5703125" style="94" customWidth="1"/>
    <col min="6" max="6" width="47.85546875" style="94" customWidth="1"/>
    <col min="7" max="7" width="18.85546875" style="94" customWidth="1"/>
    <col min="8" max="8" width="22.140625" style="94" customWidth="1"/>
    <col min="9" max="9" width="17.28515625" style="94" customWidth="1"/>
    <col min="10" max="10" width="4.42578125" style="94" customWidth="1"/>
    <col min="11" max="11" width="7.7109375" style="94" bestFit="1" customWidth="1"/>
    <col min="12" max="12" width="45.28515625" style="94" customWidth="1"/>
    <col min="13" max="13" width="18.28515625" style="94" customWidth="1"/>
    <col min="14" max="16" width="4.42578125" style="94" customWidth="1"/>
    <col min="17" max="17" width="13.5703125" style="94" bestFit="1" customWidth="1"/>
    <col min="18" max="18" width="19.28515625" style="94" customWidth="1"/>
    <col min="19" max="19" width="26.42578125" style="94" customWidth="1"/>
    <col min="20" max="20" width="14.7109375" style="94" bestFit="1" customWidth="1"/>
    <col min="21" max="21" width="19.85546875" style="94" bestFit="1" customWidth="1"/>
    <col min="22" max="22" width="18.85546875" style="94" bestFit="1" customWidth="1"/>
    <col min="23" max="23" width="14.7109375" style="94" bestFit="1" customWidth="1"/>
    <col min="24" max="24" width="19.85546875" style="94" bestFit="1" customWidth="1"/>
    <col min="25" max="25" width="18.85546875" style="94" bestFit="1" customWidth="1"/>
    <col min="26" max="26" width="16.28515625" style="94" bestFit="1" customWidth="1"/>
    <col min="27" max="27" width="17.5703125" style="94" customWidth="1"/>
    <col min="28" max="28" width="22.28515625" style="94" bestFit="1" customWidth="1"/>
    <col min="29" max="30" width="17.5703125" style="94" customWidth="1"/>
    <col min="31" max="31" width="44" style="94" customWidth="1"/>
    <col min="32" max="32" width="29.42578125" style="94" customWidth="1"/>
    <col min="33" max="33" width="12.28515625" style="94" customWidth="1"/>
    <col min="34" max="16384" width="9.140625" style="94"/>
  </cols>
  <sheetData>
    <row r="1" spans="1:33" s="89" customFormat="1" ht="54.75" customHeight="1" thickBot="1" x14ac:dyDescent="0.3">
      <c r="A1" s="569" t="s">
        <v>374</v>
      </c>
      <c r="B1" s="570"/>
      <c r="C1" s="571"/>
      <c r="D1" s="87"/>
      <c r="E1" s="572" t="s">
        <v>78</v>
      </c>
      <c r="F1" s="573"/>
      <c r="G1" s="573"/>
      <c r="H1" s="573"/>
      <c r="I1" s="573"/>
      <c r="J1" s="573"/>
      <c r="K1" s="573"/>
      <c r="L1" s="573"/>
      <c r="M1" s="574"/>
      <c r="N1" s="87"/>
      <c r="O1" s="87"/>
      <c r="P1" s="87"/>
      <c r="Q1" s="88"/>
      <c r="R1" s="88"/>
      <c r="S1" s="88"/>
      <c r="T1" s="88"/>
      <c r="U1" s="88"/>
      <c r="V1" s="88"/>
      <c r="W1" s="88"/>
      <c r="X1" s="88"/>
      <c r="Y1" s="88"/>
      <c r="Z1" s="88"/>
      <c r="AA1" s="88"/>
      <c r="AB1" s="88"/>
      <c r="AE1" s="90"/>
      <c r="AF1" s="90"/>
      <c r="AG1" s="90"/>
    </row>
    <row r="2" spans="1:33" s="89" customFormat="1" ht="50.1" customHeight="1" thickBot="1" x14ac:dyDescent="0.3">
      <c r="A2" s="575" t="str">
        <f>Xulosa!K1</f>
        <v>OOO NARPAY INVIST</v>
      </c>
      <c r="B2" s="576"/>
      <c r="C2" s="577"/>
      <c r="D2" s="87"/>
      <c r="E2" s="91" t="s">
        <v>6</v>
      </c>
      <c r="F2" s="92" t="s">
        <v>8</v>
      </c>
      <c r="G2" s="92" t="s">
        <v>7</v>
      </c>
      <c r="H2" s="92" t="s">
        <v>9</v>
      </c>
      <c r="I2" s="93" t="s">
        <v>10</v>
      </c>
      <c r="J2" s="94"/>
      <c r="K2" s="94"/>
      <c r="L2" s="94"/>
      <c r="M2" s="94"/>
      <c r="N2" s="94"/>
      <c r="O2" s="94"/>
      <c r="P2" s="94"/>
      <c r="Q2" s="94"/>
      <c r="R2" s="94"/>
      <c r="S2" s="94"/>
      <c r="T2" s="94"/>
      <c r="U2" s="94"/>
      <c r="V2" s="94"/>
      <c r="W2" s="94"/>
      <c r="X2" s="88"/>
      <c r="Y2" s="88"/>
      <c r="Z2" s="88"/>
      <c r="AA2" s="88"/>
      <c r="AB2" s="88"/>
      <c r="AC2" s="95"/>
      <c r="AD2" s="95"/>
      <c r="AE2" s="90"/>
      <c r="AF2" s="90"/>
      <c r="AG2" s="90"/>
    </row>
    <row r="3" spans="1:33" s="89" customFormat="1" ht="50.1" customHeight="1" thickBot="1" x14ac:dyDescent="0.3">
      <c r="A3" s="96" t="s">
        <v>79</v>
      </c>
      <c r="B3" s="97" t="s">
        <v>80</v>
      </c>
      <c r="C3" s="98" t="s">
        <v>81</v>
      </c>
      <c r="D3" s="87"/>
      <c r="E3" s="99" t="s">
        <v>11</v>
      </c>
      <c r="F3" s="100" t="s">
        <v>82</v>
      </c>
      <c r="G3" s="101">
        <v>0.05</v>
      </c>
      <c r="H3" s="102">
        <f>C15/(C10+C11+C14)</f>
        <v>181354</v>
      </c>
      <c r="I3" s="103">
        <f>H3*G3</f>
        <v>9067.7000000000007</v>
      </c>
      <c r="J3" s="94"/>
      <c r="K3" s="104" t="s">
        <v>37</v>
      </c>
      <c r="L3" s="105" t="s">
        <v>14</v>
      </c>
      <c r="M3" s="106" t="s">
        <v>13</v>
      </c>
      <c r="N3" s="94"/>
      <c r="O3" s="94"/>
      <c r="P3" s="94"/>
      <c r="Q3" s="94"/>
      <c r="R3" s="94"/>
      <c r="S3" s="94"/>
      <c r="T3" s="94"/>
      <c r="U3" s="94"/>
      <c r="V3" s="94"/>
      <c r="W3" s="94"/>
      <c r="X3" s="88"/>
      <c r="Y3" s="88"/>
      <c r="Z3" s="88"/>
      <c r="AA3" s="88"/>
      <c r="AB3" s="88"/>
      <c r="AC3" s="95"/>
      <c r="AD3" s="95"/>
      <c r="AE3" s="90"/>
      <c r="AF3" s="90"/>
      <c r="AG3" s="90"/>
    </row>
    <row r="4" spans="1:33" ht="50.1" customHeight="1" x14ac:dyDescent="0.25">
      <c r="A4" s="107" t="s">
        <v>83</v>
      </c>
      <c r="B4" s="108" t="s">
        <v>84</v>
      </c>
      <c r="C4" s="109"/>
      <c r="D4" s="110"/>
      <c r="E4" s="99" t="s">
        <v>85</v>
      </c>
      <c r="F4" s="100" t="s">
        <v>86</v>
      </c>
      <c r="G4" s="101">
        <v>0.3</v>
      </c>
      <c r="H4" s="102">
        <f>+C15/(C12+C4)</f>
        <v>8.9779207920792081E-2</v>
      </c>
      <c r="I4" s="103">
        <f>H4*G4</f>
        <v>2.6933762376237624E-2</v>
      </c>
      <c r="J4" s="110"/>
      <c r="K4" s="509">
        <v>5</v>
      </c>
      <c r="L4" s="510" t="s">
        <v>87</v>
      </c>
      <c r="M4" s="511" t="s">
        <v>88</v>
      </c>
      <c r="X4" s="88"/>
      <c r="Y4" s="88"/>
      <c r="Z4" s="88"/>
      <c r="AA4" s="88"/>
      <c r="AB4" s="88"/>
      <c r="AC4" s="95"/>
      <c r="AD4" s="95"/>
      <c r="AE4" s="90"/>
      <c r="AF4" s="90"/>
      <c r="AG4" s="90"/>
    </row>
    <row r="5" spans="1:33" ht="50.1" customHeight="1" x14ac:dyDescent="0.25">
      <c r="A5" s="99" t="s">
        <v>89</v>
      </c>
      <c r="B5" s="111" t="s">
        <v>90</v>
      </c>
      <c r="C5" s="109">
        <v>1934714.38</v>
      </c>
      <c r="D5" s="110"/>
      <c r="E5" s="99" t="s">
        <v>20</v>
      </c>
      <c r="F5" s="100" t="s">
        <v>91</v>
      </c>
      <c r="G5" s="101">
        <v>0.3</v>
      </c>
      <c r="H5" s="102">
        <f>+C5/C10</f>
        <v>1934714.38</v>
      </c>
      <c r="I5" s="103">
        <f>H5*G5</f>
        <v>580414.3139999999</v>
      </c>
      <c r="J5" s="110"/>
      <c r="K5" s="457">
        <v>4</v>
      </c>
      <c r="L5" s="458" t="s">
        <v>92</v>
      </c>
      <c r="M5" s="459" t="s">
        <v>93</v>
      </c>
      <c r="N5" s="110"/>
      <c r="O5" s="110"/>
      <c r="X5" s="88"/>
      <c r="Y5" s="88"/>
      <c r="Z5" s="88"/>
      <c r="AA5" s="88"/>
      <c r="AB5" s="88"/>
      <c r="AC5" s="90"/>
      <c r="AD5" s="90"/>
      <c r="AE5" s="113"/>
      <c r="AF5" s="114"/>
      <c r="AG5" s="113"/>
    </row>
    <row r="6" spans="1:33" ht="50.1" customHeight="1" x14ac:dyDescent="0.25">
      <c r="A6" s="99" t="s">
        <v>94</v>
      </c>
      <c r="B6" s="111" t="s">
        <v>95</v>
      </c>
      <c r="C6" s="109">
        <v>7087877.9800000004</v>
      </c>
      <c r="D6" s="110"/>
      <c r="E6" s="99" t="s">
        <v>24</v>
      </c>
      <c r="F6" s="100" t="s">
        <v>96</v>
      </c>
      <c r="G6" s="101">
        <v>0.3</v>
      </c>
      <c r="H6" s="102">
        <f>$C$8/$C$6</f>
        <v>0.71500638051333953</v>
      </c>
      <c r="I6" s="103">
        <f>H6*G6</f>
        <v>0.21450191415400185</v>
      </c>
      <c r="J6" s="110"/>
      <c r="K6" s="372">
        <v>3</v>
      </c>
      <c r="L6" s="373" t="s">
        <v>97</v>
      </c>
      <c r="M6" s="374" t="s">
        <v>98</v>
      </c>
      <c r="N6" s="110"/>
      <c r="O6" s="110"/>
      <c r="X6" s="88"/>
      <c r="Y6" s="88"/>
      <c r="Z6" s="88"/>
      <c r="AA6" s="88"/>
      <c r="AB6" s="88"/>
      <c r="AC6" s="90"/>
      <c r="AD6" s="90"/>
      <c r="AE6" s="113"/>
      <c r="AF6" s="114"/>
      <c r="AG6" s="113"/>
    </row>
    <row r="7" spans="1:33" ht="50.1" customHeight="1" thickBot="1" x14ac:dyDescent="0.3">
      <c r="A7" s="99" t="s">
        <v>99</v>
      </c>
      <c r="B7" s="115" t="s">
        <v>100</v>
      </c>
      <c r="C7" s="112">
        <v>14714.38</v>
      </c>
      <c r="D7" s="110"/>
      <c r="E7" s="116" t="s">
        <v>28</v>
      </c>
      <c r="F7" s="117" t="s">
        <v>101</v>
      </c>
      <c r="G7" s="118">
        <v>0.05</v>
      </c>
      <c r="H7" s="119">
        <f>$C$5/$C$6</f>
        <v>0.2729610167470744</v>
      </c>
      <c r="I7" s="120">
        <f>H7*G7</f>
        <v>1.3648050837353721E-2</v>
      </c>
      <c r="J7" s="110"/>
      <c r="K7" s="372">
        <v>2</v>
      </c>
      <c r="L7" s="373" t="s">
        <v>102</v>
      </c>
      <c r="M7" s="374" t="s">
        <v>103</v>
      </c>
      <c r="N7" s="110"/>
      <c r="O7" s="110"/>
      <c r="X7" s="88"/>
      <c r="Y7" s="88"/>
      <c r="Z7" s="88"/>
      <c r="AA7" s="88"/>
      <c r="AB7" s="88"/>
      <c r="AC7" s="90"/>
      <c r="AD7" s="90"/>
      <c r="AE7" s="113"/>
      <c r="AF7" s="114"/>
      <c r="AG7" s="113"/>
    </row>
    <row r="8" spans="1:33" ht="50.1" customHeight="1" thickBot="1" x14ac:dyDescent="0.3">
      <c r="A8" s="99" t="s">
        <v>104</v>
      </c>
      <c r="B8" s="115" t="s">
        <v>105</v>
      </c>
      <c r="C8" s="112">
        <v>5067877.9800000004</v>
      </c>
      <c r="D8" s="110"/>
      <c r="E8" s="121"/>
      <c r="F8" s="121"/>
      <c r="G8" s="121"/>
      <c r="H8" s="122"/>
      <c r="I8" s="123">
        <f>SUM(I3:I7)</f>
        <v>589482.26908372727</v>
      </c>
      <c r="J8" s="124"/>
      <c r="K8" s="506">
        <v>1</v>
      </c>
      <c r="L8" s="507" t="s">
        <v>106</v>
      </c>
      <c r="M8" s="508" t="s">
        <v>107</v>
      </c>
      <c r="N8" s="110"/>
      <c r="O8" s="110"/>
      <c r="X8" s="88"/>
      <c r="Y8" s="88"/>
      <c r="Z8" s="88"/>
      <c r="AA8" s="88"/>
      <c r="AB8" s="88"/>
      <c r="AC8" s="90"/>
      <c r="AD8" s="90"/>
      <c r="AE8" s="113"/>
      <c r="AF8" s="114"/>
      <c r="AG8" s="113"/>
    </row>
    <row r="9" spans="1:33" ht="50.1" customHeight="1" thickBot="1" x14ac:dyDescent="0.3">
      <c r="A9" s="99" t="s">
        <v>108</v>
      </c>
      <c r="B9" s="115" t="s">
        <v>109</v>
      </c>
      <c r="C9" s="112"/>
      <c r="D9" s="110"/>
      <c r="N9" s="125"/>
      <c r="O9" s="125"/>
      <c r="X9" s="88"/>
      <c r="Y9" s="88"/>
      <c r="Z9" s="88"/>
      <c r="AA9" s="88"/>
      <c r="AB9" s="88"/>
      <c r="AC9" s="90"/>
      <c r="AD9" s="90"/>
      <c r="AE9" s="113"/>
      <c r="AF9" s="114"/>
      <c r="AG9" s="113"/>
    </row>
    <row r="10" spans="1:33" ht="50.1" customHeight="1" thickBot="1" x14ac:dyDescent="0.3">
      <c r="A10" s="99" t="s">
        <v>110</v>
      </c>
      <c r="B10" s="115" t="s">
        <v>111</v>
      </c>
      <c r="C10" s="112">
        <v>1</v>
      </c>
      <c r="D10" s="110"/>
      <c r="E10" s="572" t="s">
        <v>112</v>
      </c>
      <c r="F10" s="573"/>
      <c r="G10" s="573"/>
      <c r="H10" s="573"/>
      <c r="I10" s="573"/>
      <c r="J10" s="573"/>
      <c r="K10" s="573"/>
      <c r="L10" s="573"/>
      <c r="M10" s="574"/>
      <c r="N10" s="110"/>
      <c r="O10" s="110"/>
      <c r="X10" s="88"/>
      <c r="Y10" s="88"/>
      <c r="Z10" s="88"/>
      <c r="AA10" s="88"/>
      <c r="AB10" s="88"/>
      <c r="AC10" s="90"/>
      <c r="AD10" s="90"/>
      <c r="AE10" s="113"/>
      <c r="AF10" s="114"/>
      <c r="AG10" s="113"/>
    </row>
    <row r="11" spans="1:33" ht="50.1" customHeight="1" thickBot="1" x14ac:dyDescent="0.3">
      <c r="A11" s="99" t="s">
        <v>113</v>
      </c>
      <c r="B11" s="115" t="s">
        <v>114</v>
      </c>
      <c r="C11" s="112"/>
      <c r="D11" s="110"/>
      <c r="E11" s="578" t="s">
        <v>115</v>
      </c>
      <c r="F11" s="579"/>
      <c r="G11" s="580"/>
      <c r="H11" s="125"/>
      <c r="I11" s="125"/>
      <c r="J11" s="110"/>
      <c r="K11" s="110"/>
      <c r="L11" s="110"/>
      <c r="M11" s="110"/>
      <c r="N11" s="110"/>
      <c r="O11" s="110"/>
      <c r="X11" s="88"/>
      <c r="Y11" s="88"/>
      <c r="Z11" s="88"/>
      <c r="AA11" s="88"/>
      <c r="AB11" s="88"/>
      <c r="AC11" s="90"/>
      <c r="AD11" s="90"/>
      <c r="AE11" s="113"/>
      <c r="AF11" s="114"/>
      <c r="AG11" s="113"/>
    </row>
    <row r="12" spans="1:33" ht="50.1" customHeight="1" x14ac:dyDescent="0.25">
      <c r="A12" s="126" t="s">
        <v>116</v>
      </c>
      <c r="B12" s="115" t="s">
        <v>117</v>
      </c>
      <c r="C12" s="112">
        <v>2020000</v>
      </c>
      <c r="D12" s="110"/>
      <c r="E12" s="127" t="s">
        <v>35</v>
      </c>
      <c r="F12" s="128" t="s">
        <v>36</v>
      </c>
      <c r="G12" s="129">
        <f>+C5/C6</f>
        <v>0.2729610167470744</v>
      </c>
      <c r="H12" s="125"/>
      <c r="I12" s="125"/>
      <c r="J12" s="110"/>
      <c r="K12" s="110"/>
      <c r="L12" s="110"/>
      <c r="M12" s="110"/>
      <c r="N12" s="110"/>
      <c r="O12" s="110"/>
      <c r="X12" s="88"/>
      <c r="Y12" s="88"/>
      <c r="Z12" s="88"/>
      <c r="AA12" s="88"/>
      <c r="AB12" s="88"/>
      <c r="AC12" s="90"/>
      <c r="AD12" s="90"/>
      <c r="AE12" s="113"/>
      <c r="AF12" s="114"/>
      <c r="AG12" s="113"/>
    </row>
    <row r="13" spans="1:33" ht="50.1" customHeight="1" thickBot="1" x14ac:dyDescent="0.3">
      <c r="A13" s="99" t="s">
        <v>118</v>
      </c>
      <c r="B13" s="115" t="s">
        <v>119</v>
      </c>
      <c r="C13" s="112">
        <v>108100</v>
      </c>
      <c r="D13" s="130"/>
      <c r="E13" s="131" t="s">
        <v>38</v>
      </c>
      <c r="F13" s="132" t="s">
        <v>39</v>
      </c>
      <c r="G13" s="133">
        <f>+C7/C6</f>
        <v>2.0759922845060034E-3</v>
      </c>
      <c r="H13" s="125"/>
      <c r="I13" s="125"/>
      <c r="J13" s="110"/>
      <c r="K13" s="134"/>
      <c r="L13" s="110"/>
      <c r="M13" s="110"/>
      <c r="N13" s="110"/>
      <c r="O13" s="110"/>
      <c r="X13" s="88"/>
      <c r="Y13" s="88"/>
      <c r="Z13" s="88"/>
      <c r="AA13" s="88"/>
      <c r="AB13" s="88"/>
      <c r="AC13" s="90"/>
      <c r="AD13" s="90"/>
      <c r="AE13" s="113"/>
      <c r="AF13" s="114"/>
      <c r="AG13" s="113"/>
    </row>
    <row r="14" spans="1:33" ht="50.1" customHeight="1" thickBot="1" x14ac:dyDescent="0.3">
      <c r="A14" s="135" t="s">
        <v>120</v>
      </c>
      <c r="B14" s="115" t="s">
        <v>121</v>
      </c>
      <c r="C14" s="112"/>
      <c r="D14" s="110"/>
      <c r="E14" s="131" t="s">
        <v>42</v>
      </c>
      <c r="F14" s="132" t="s">
        <v>43</v>
      </c>
      <c r="G14" s="133">
        <f>+C15/C6</f>
        <v>2.5586501419991994E-2</v>
      </c>
      <c r="H14" s="125"/>
      <c r="I14" s="125"/>
      <c r="J14" s="110"/>
      <c r="K14" s="104" t="s">
        <v>37</v>
      </c>
      <c r="L14" s="105" t="s">
        <v>14</v>
      </c>
      <c r="M14" s="106" t="s">
        <v>13</v>
      </c>
      <c r="N14" s="110"/>
      <c r="O14" s="110"/>
      <c r="X14" s="90"/>
      <c r="Y14" s="90"/>
      <c r="Z14" s="90"/>
      <c r="AA14" s="90"/>
      <c r="AB14" s="90"/>
      <c r="AC14" s="90"/>
      <c r="AD14" s="90"/>
      <c r="AE14" s="113"/>
      <c r="AF14" s="114"/>
      <c r="AG14" s="113"/>
    </row>
    <row r="15" spans="1:33" ht="50.1" customHeight="1" thickBot="1" x14ac:dyDescent="0.3">
      <c r="A15" s="136" t="s">
        <v>122</v>
      </c>
      <c r="B15" s="137" t="s">
        <v>123</v>
      </c>
      <c r="C15" s="138">
        <v>181354</v>
      </c>
      <c r="D15" s="110"/>
      <c r="E15" s="131" t="s">
        <v>46</v>
      </c>
      <c r="F15" s="132" t="s">
        <v>47</v>
      </c>
      <c r="G15" s="133">
        <f>+C8/C12</f>
        <v>2.5088504851485149</v>
      </c>
      <c r="H15" s="125"/>
      <c r="I15" s="125"/>
      <c r="J15" s="110"/>
      <c r="K15" s="512">
        <v>5</v>
      </c>
      <c r="L15" s="513" t="s">
        <v>124</v>
      </c>
      <c r="M15" s="514" t="s">
        <v>49</v>
      </c>
      <c r="N15" s="110"/>
      <c r="O15" s="110"/>
      <c r="AC15" s="90"/>
      <c r="AD15" s="90"/>
      <c r="AE15" s="113"/>
      <c r="AF15" s="114"/>
      <c r="AG15" s="113"/>
    </row>
    <row r="16" spans="1:33" ht="50.1" customHeight="1" thickBot="1" x14ac:dyDescent="0.3">
      <c r="D16" s="110"/>
      <c r="E16" s="139" t="s">
        <v>50</v>
      </c>
      <c r="F16" s="140" t="s">
        <v>51</v>
      </c>
      <c r="G16" s="141">
        <f>+C13/C6</f>
        <v>1.5251391221043565E-2</v>
      </c>
      <c r="H16" s="125"/>
      <c r="I16" s="110"/>
      <c r="J16" s="110"/>
      <c r="K16" s="515">
        <v>3</v>
      </c>
      <c r="L16" s="516" t="s">
        <v>125</v>
      </c>
      <c r="M16" s="517" t="s">
        <v>45</v>
      </c>
      <c r="N16" s="110"/>
      <c r="O16" s="110"/>
      <c r="P16" s="110"/>
      <c r="X16" s="142"/>
      <c r="Y16" s="143"/>
      <c r="AC16" s="90"/>
      <c r="AD16" s="90"/>
      <c r="AE16" s="113"/>
      <c r="AF16" s="114"/>
      <c r="AG16" s="113"/>
    </row>
    <row r="17" spans="1:33" ht="50.1" customHeight="1" thickBot="1" x14ac:dyDescent="0.3">
      <c r="A17" s="144" t="s">
        <v>126</v>
      </c>
      <c r="B17" s="145">
        <f>K16+K4</f>
        <v>8</v>
      </c>
      <c r="C17" s="110"/>
      <c r="D17" s="110"/>
      <c r="E17" s="110"/>
      <c r="F17" s="110"/>
      <c r="G17" s="146">
        <f>0.717*G12+0.847*G13+3.107*G14+0.42*G15+0.998*G16</f>
        <v>1.345906766585522</v>
      </c>
      <c r="H17" s="125"/>
      <c r="I17" s="125"/>
      <c r="J17" s="470"/>
      <c r="K17" s="490">
        <v>1</v>
      </c>
      <c r="L17" s="491" t="s">
        <v>127</v>
      </c>
      <c r="M17" s="492" t="s">
        <v>41</v>
      </c>
      <c r="N17" s="110"/>
      <c r="O17" s="110"/>
      <c r="P17" s="110"/>
      <c r="AC17" s="90"/>
      <c r="AD17" s="90"/>
      <c r="AE17" s="113"/>
      <c r="AF17" s="114"/>
      <c r="AG17" s="113"/>
    </row>
    <row r="18" spans="1:33" ht="45" customHeight="1" x14ac:dyDescent="0.25">
      <c r="C18" s="147"/>
      <c r="D18" s="147"/>
      <c r="N18" s="125"/>
      <c r="O18" s="125"/>
      <c r="P18" s="125"/>
      <c r="Q18" s="125"/>
      <c r="Y18" s="143"/>
      <c r="AC18" s="147"/>
      <c r="AD18" s="147"/>
      <c r="AE18" s="147"/>
      <c r="AF18" s="147"/>
      <c r="AG18" s="147"/>
    </row>
    <row r="19" spans="1:33" ht="45" customHeight="1" x14ac:dyDescent="0.25">
      <c r="A19" s="147"/>
      <c r="G19" s="147"/>
      <c r="H19" s="147"/>
      <c r="I19" s="147"/>
      <c r="J19" s="147"/>
      <c r="N19" s="147"/>
      <c r="O19" s="147"/>
      <c r="P19" s="147"/>
      <c r="AC19" s="147"/>
      <c r="AD19" s="147"/>
      <c r="AE19" s="147"/>
      <c r="AF19" s="147"/>
      <c r="AG19" s="147"/>
    </row>
    <row r="20" spans="1:33" ht="45" customHeight="1" x14ac:dyDescent="0.25">
      <c r="S20" s="95"/>
      <c r="T20" s="95"/>
      <c r="U20" s="95"/>
      <c r="V20" s="95"/>
      <c r="W20" s="95"/>
    </row>
    <row r="21" spans="1:33" ht="45" customHeight="1" x14ac:dyDescent="0.25">
      <c r="S21" s="95"/>
      <c r="T21" s="95"/>
      <c r="U21" s="95"/>
      <c r="V21" s="95"/>
      <c r="W21" s="95"/>
    </row>
    <row r="22" spans="1:33" ht="45" customHeight="1" x14ac:dyDescent="0.25">
      <c r="S22" s="95"/>
      <c r="T22" s="95"/>
      <c r="U22" s="95"/>
      <c r="V22" s="95"/>
      <c r="W22" s="95"/>
    </row>
    <row r="23" spans="1:33" ht="45" customHeight="1" x14ac:dyDescent="0.25">
      <c r="C23" s="148"/>
      <c r="D23" s="149"/>
      <c r="S23" s="95"/>
      <c r="T23" s="95"/>
      <c r="U23" s="95"/>
      <c r="V23" s="95"/>
      <c r="W23" s="95"/>
    </row>
    <row r="24" spans="1:33" ht="45" customHeight="1" x14ac:dyDescent="0.25">
      <c r="C24" s="148"/>
      <c r="D24" s="148"/>
      <c r="S24" s="95"/>
      <c r="T24" s="95"/>
      <c r="U24" s="95"/>
      <c r="V24" s="95"/>
      <c r="W24" s="95"/>
    </row>
    <row r="25" spans="1:33" ht="45" customHeight="1" x14ac:dyDescent="0.25">
      <c r="C25" s="148"/>
      <c r="D25" s="148"/>
      <c r="S25" s="95"/>
      <c r="T25" s="95"/>
      <c r="U25" s="95"/>
      <c r="V25" s="95"/>
      <c r="W25" s="95"/>
    </row>
    <row r="26" spans="1:33" ht="45" customHeight="1" x14ac:dyDescent="0.25">
      <c r="C26" s="148"/>
      <c r="D26" s="148"/>
      <c r="S26" s="95"/>
      <c r="T26" s="95"/>
      <c r="U26" s="95"/>
      <c r="V26" s="95"/>
      <c r="W26" s="95"/>
    </row>
    <row r="27" spans="1:33" ht="45" customHeight="1" x14ac:dyDescent="0.25">
      <c r="C27" s="148"/>
      <c r="D27" s="148"/>
      <c r="S27" s="95"/>
      <c r="T27" s="95"/>
      <c r="U27" s="95"/>
      <c r="V27" s="95"/>
      <c r="W27" s="95"/>
    </row>
    <row r="28" spans="1:33" ht="45" customHeight="1" x14ac:dyDescent="0.25">
      <c r="C28" s="149"/>
      <c r="D28" s="148"/>
      <c r="S28" s="95"/>
      <c r="T28" s="95"/>
      <c r="U28" s="95"/>
      <c r="V28" s="95"/>
      <c r="W28" s="95"/>
    </row>
    <row r="29" spans="1:33" ht="45" customHeight="1" x14ac:dyDescent="0.25">
      <c r="C29" s="149"/>
      <c r="D29" s="148"/>
      <c r="S29" s="95"/>
      <c r="T29" s="95"/>
      <c r="U29" s="95"/>
      <c r="V29" s="95"/>
      <c r="W29" s="95"/>
    </row>
    <row r="30" spans="1:33" ht="45" customHeight="1" x14ac:dyDescent="0.25">
      <c r="C30" s="148"/>
      <c r="D30" s="148"/>
      <c r="S30" s="95"/>
      <c r="T30" s="95"/>
      <c r="U30" s="95"/>
      <c r="V30" s="95"/>
      <c r="W30" s="95"/>
    </row>
    <row r="31" spans="1:33" ht="45" customHeight="1" x14ac:dyDescent="0.25">
      <c r="C31" s="125"/>
      <c r="S31" s="95"/>
      <c r="T31" s="95"/>
      <c r="U31" s="95"/>
      <c r="V31" s="95"/>
      <c r="W31" s="95"/>
    </row>
    <row r="32" spans="1:33" ht="45" customHeight="1" x14ac:dyDescent="0.25">
      <c r="D32" s="125"/>
      <c r="S32" s="95"/>
      <c r="T32" s="95"/>
      <c r="U32" s="95"/>
      <c r="V32" s="95"/>
      <c r="W32" s="95"/>
    </row>
    <row r="33" spans="19:23" ht="45" customHeight="1" x14ac:dyDescent="0.25">
      <c r="S33" s="95"/>
      <c r="T33" s="95"/>
      <c r="U33" s="95"/>
      <c r="V33" s="95"/>
      <c r="W33" s="95"/>
    </row>
    <row r="34" spans="19:23" ht="45" customHeight="1" x14ac:dyDescent="0.25">
      <c r="S34" s="95"/>
      <c r="T34" s="95"/>
      <c r="U34" s="95"/>
      <c r="V34" s="95"/>
      <c r="W34" s="95"/>
    </row>
    <row r="35" spans="19:23" ht="45" customHeight="1" x14ac:dyDescent="0.25">
      <c r="S35" s="95"/>
      <c r="T35" s="95"/>
      <c r="U35" s="95"/>
      <c r="V35" s="95"/>
      <c r="W35" s="95"/>
    </row>
    <row r="36" spans="19:23" ht="45" customHeight="1" x14ac:dyDescent="0.25">
      <c r="S36" s="95"/>
      <c r="T36" s="95"/>
      <c r="U36" s="95"/>
      <c r="V36" s="95"/>
      <c r="W36" s="95"/>
    </row>
    <row r="37" spans="19:23" ht="45" customHeight="1" x14ac:dyDescent="0.25">
      <c r="S37" s="95"/>
      <c r="T37" s="95"/>
      <c r="U37" s="95"/>
      <c r="V37" s="95"/>
      <c r="W37" s="95"/>
    </row>
    <row r="38" spans="19:23" ht="45" customHeight="1" x14ac:dyDescent="0.25">
      <c r="S38" s="95"/>
      <c r="T38" s="95"/>
      <c r="U38" s="95"/>
      <c r="V38" s="95"/>
      <c r="W38" s="95"/>
    </row>
    <row r="39" spans="19:23" ht="45" customHeight="1" x14ac:dyDescent="0.25">
      <c r="S39" s="95"/>
      <c r="T39" s="95"/>
      <c r="U39" s="95"/>
      <c r="V39" s="95"/>
      <c r="W39" s="95"/>
    </row>
    <row r="40" spans="19:23" ht="45" customHeight="1" x14ac:dyDescent="0.25">
      <c r="S40" s="95"/>
      <c r="T40" s="95"/>
      <c r="U40" s="95"/>
      <c r="V40" s="95"/>
      <c r="W40" s="95"/>
    </row>
    <row r="41" spans="19:23" ht="45" customHeight="1" x14ac:dyDescent="0.25">
      <c r="S41" s="95"/>
      <c r="T41" s="95"/>
      <c r="U41" s="95"/>
      <c r="V41" s="95"/>
      <c r="W41" s="95"/>
    </row>
    <row r="42" spans="19:23" ht="45" customHeight="1" x14ac:dyDescent="0.25">
      <c r="S42" s="95"/>
      <c r="T42" s="95"/>
      <c r="U42" s="95"/>
      <c r="V42" s="95"/>
      <c r="W42" s="95"/>
    </row>
    <row r="43" spans="19:23" ht="45" customHeight="1" x14ac:dyDescent="0.25">
      <c r="S43" s="95"/>
      <c r="T43" s="95"/>
      <c r="U43" s="95"/>
      <c r="V43" s="95"/>
      <c r="W43" s="95"/>
    </row>
    <row r="44" spans="19:23" ht="45" customHeight="1" x14ac:dyDescent="0.25">
      <c r="S44" s="95"/>
      <c r="T44" s="95"/>
      <c r="U44" s="95"/>
      <c r="V44" s="95"/>
      <c r="W44" s="95"/>
    </row>
    <row r="45" spans="19:23" ht="45" customHeight="1" x14ac:dyDescent="0.25">
      <c r="S45" s="95"/>
      <c r="T45" s="95"/>
      <c r="U45" s="95"/>
      <c r="V45" s="95"/>
      <c r="W45" s="95"/>
    </row>
    <row r="46" spans="19:23" ht="45" customHeight="1" x14ac:dyDescent="0.25">
      <c r="S46" s="95"/>
      <c r="T46" s="95"/>
      <c r="U46" s="95"/>
      <c r="V46" s="95"/>
      <c r="W46" s="95"/>
    </row>
    <row r="47" spans="19:23" ht="45" customHeight="1" x14ac:dyDescent="0.25">
      <c r="S47" s="95"/>
      <c r="T47" s="95"/>
      <c r="U47" s="95"/>
      <c r="V47" s="95"/>
      <c r="W47" s="95"/>
    </row>
    <row r="48" spans="19:23" ht="45" customHeight="1" x14ac:dyDescent="0.25">
      <c r="S48" s="95"/>
      <c r="T48" s="95"/>
      <c r="U48" s="95"/>
      <c r="V48" s="95"/>
      <c r="W48" s="95"/>
    </row>
    <row r="49" spans="19:23" ht="45" customHeight="1" x14ac:dyDescent="0.25">
      <c r="S49" s="95"/>
      <c r="T49" s="95"/>
      <c r="U49" s="95"/>
      <c r="V49" s="95"/>
      <c r="W49" s="95"/>
    </row>
  </sheetData>
  <sheetProtection formatCells="0" formatColumns="0" formatRows="0" insertColumns="0" insertRows="0" insertHyperlinks="0" deleteColumns="0" deleteRows="0" sort="0" autoFilter="0" pivotTables="0"/>
  <protectedRanges>
    <protectedRange sqref="B17" name="Диапазон3"/>
    <protectedRange sqref="C4:C15" name="Диапазон1"/>
    <protectedRange sqref="A1" name="Диапазон2"/>
  </protectedRanges>
  <mergeCells count="5">
    <mergeCell ref="A1:C1"/>
    <mergeCell ref="E1:M1"/>
    <mergeCell ref="A2:C2"/>
    <mergeCell ref="E10:M10"/>
    <mergeCell ref="E11:G11"/>
  </mergeCells>
  <pageMargins left="0.70866141732283472" right="0.70866141732283472" top="0.74803149606299213" bottom="0.74803149606299213" header="0.31496062992125984" footer="0.31496062992125984"/>
  <pageSetup paperSize="9" scale="38" orientation="landscape"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28"/>
  <sheetViews>
    <sheetView zoomScale="55" zoomScaleNormal="55" workbookViewId="0">
      <selection activeCell="K5" sqref="K5"/>
    </sheetView>
  </sheetViews>
  <sheetFormatPr defaultColWidth="9.140625" defaultRowHeight="32.25" customHeight="1" outlineLevelRow="1" x14ac:dyDescent="0.25"/>
  <cols>
    <col min="1" max="1" width="8.42578125" style="183" bestFit="1" customWidth="1"/>
    <col min="2" max="2" width="49" style="184" bestFit="1" customWidth="1"/>
    <col min="3" max="3" width="13" style="184" bestFit="1" customWidth="1"/>
    <col min="4" max="4" width="26.28515625" style="184" customWidth="1"/>
    <col min="5" max="5" width="23.85546875" style="184" customWidth="1"/>
    <col min="6" max="6" width="2.85546875" style="184" customWidth="1"/>
    <col min="7" max="7" width="6.85546875" style="184" customWidth="1"/>
    <col min="8" max="8" width="24" style="184" customWidth="1"/>
    <col min="9" max="9" width="29.28515625" style="184" customWidth="1"/>
    <col min="10" max="10" width="21.28515625" style="184" bestFit="1" customWidth="1"/>
    <col min="11" max="11" width="23.5703125" style="184" bestFit="1" customWidth="1"/>
    <col min="12" max="12" width="37.5703125" style="184" bestFit="1" customWidth="1"/>
    <col min="13" max="13" width="80.5703125" style="184" bestFit="1" customWidth="1"/>
    <col min="14" max="14" width="24.140625" style="151" bestFit="1" customWidth="1"/>
    <col min="15" max="15" width="25.5703125" style="151" bestFit="1" customWidth="1"/>
    <col min="16" max="16" width="18.85546875" style="152" bestFit="1" customWidth="1"/>
    <col min="17" max="17" width="23.42578125" style="152" bestFit="1" customWidth="1"/>
    <col min="18" max="16384" width="9.140625" style="152"/>
  </cols>
  <sheetData>
    <row r="1" spans="1:18" ht="32.25" customHeight="1" thickBot="1" x14ac:dyDescent="0.3">
      <c r="A1" s="582" t="s">
        <v>128</v>
      </c>
      <c r="B1" s="582"/>
      <c r="C1" s="582"/>
      <c r="D1" s="582"/>
      <c r="E1" s="582"/>
      <c r="F1" s="582"/>
      <c r="G1" s="582"/>
      <c r="H1" s="582"/>
      <c r="I1" s="582"/>
      <c r="J1" s="582"/>
      <c r="K1" s="582"/>
      <c r="L1" s="582"/>
      <c r="M1" s="150"/>
      <c r="P1" s="151"/>
      <c r="Q1" s="151"/>
      <c r="R1" s="151"/>
    </row>
    <row r="2" spans="1:18" ht="32.25" customHeight="1" thickBot="1" x14ac:dyDescent="0.3">
      <c r="A2" s="153">
        <v>1</v>
      </c>
      <c r="B2" s="583" t="s">
        <v>129</v>
      </c>
      <c r="C2" s="584"/>
      <c r="D2" s="585"/>
      <c r="E2" s="154" t="str">
        <f>Xulosa!L2</f>
        <v>UZS</v>
      </c>
      <c r="F2" s="155"/>
      <c r="G2" s="586" t="s">
        <v>130</v>
      </c>
      <c r="H2" s="587"/>
      <c r="I2" s="587"/>
      <c r="J2" s="587"/>
      <c r="K2" s="587"/>
      <c r="L2" s="588"/>
      <c r="M2" s="151"/>
      <c r="P2" s="151"/>
      <c r="Q2" s="151"/>
      <c r="R2" s="151"/>
    </row>
    <row r="3" spans="1:18" ht="38.25" customHeight="1" thickBot="1" x14ac:dyDescent="0.3">
      <c r="A3" s="156">
        <v>2</v>
      </c>
      <c r="B3" s="589" t="s">
        <v>131</v>
      </c>
      <c r="C3" s="590"/>
      <c r="D3" s="591"/>
      <c r="E3" s="157">
        <f>Xulosa!L3</f>
        <v>9200000000</v>
      </c>
      <c r="F3" s="158"/>
      <c r="G3" s="159" t="s">
        <v>132</v>
      </c>
      <c r="H3" s="159" t="s">
        <v>133</v>
      </c>
      <c r="I3" s="159" t="s">
        <v>134</v>
      </c>
      <c r="J3" s="159" t="s">
        <v>135</v>
      </c>
      <c r="K3" s="160" t="s">
        <v>56</v>
      </c>
      <c r="L3" s="159" t="s">
        <v>57</v>
      </c>
      <c r="M3" s="151"/>
      <c r="P3" s="151"/>
      <c r="Q3" s="151"/>
      <c r="R3" s="151"/>
    </row>
    <row r="4" spans="1:18" ht="32.25" customHeight="1" thickBot="1" x14ac:dyDescent="0.3">
      <c r="A4" s="156">
        <v>3</v>
      </c>
      <c r="B4" s="589" t="s">
        <v>136</v>
      </c>
      <c r="C4" s="590"/>
      <c r="D4" s="591"/>
      <c r="E4" s="157">
        <f>Xulosa!L4</f>
        <v>4900000000</v>
      </c>
      <c r="F4" s="158"/>
      <c r="G4" s="161">
        <v>0</v>
      </c>
      <c r="H4" s="162"/>
      <c r="I4" s="163">
        <f>-E3</f>
        <v>-9200000000</v>
      </c>
      <c r="J4" s="164"/>
      <c r="K4" s="164"/>
      <c r="L4" s="165"/>
      <c r="M4" s="151"/>
      <c r="P4" s="151"/>
      <c r="Q4" s="151"/>
      <c r="R4" s="151"/>
    </row>
    <row r="5" spans="1:18" ht="32.25" customHeight="1" thickTop="1" thickBot="1" x14ac:dyDescent="0.3">
      <c r="A5" s="156">
        <v>4</v>
      </c>
      <c r="B5" s="592" t="s">
        <v>137</v>
      </c>
      <c r="C5" s="593"/>
      <c r="D5" s="594"/>
      <c r="E5" s="157">
        <f>E3-E4</f>
        <v>4300000000</v>
      </c>
      <c r="F5" s="158"/>
      <c r="G5" s="166">
        <v>1</v>
      </c>
      <c r="H5" s="167">
        <v>45717</v>
      </c>
      <c r="I5" s="168">
        <v>18962852900</v>
      </c>
      <c r="J5" s="169">
        <f>+$E$10</f>
        <v>0.17972826086956523</v>
      </c>
      <c r="K5" s="170">
        <v>21659886957</v>
      </c>
      <c r="L5" s="171" t="str">
        <f>IF(IRR($I$4:I5,J5)&lt;$E$10,"Loyiha rad etilsin","Loyihani qabul qilish mumkin")</f>
        <v>Loyihani qabul qilish mumkin</v>
      </c>
      <c r="M5" s="151"/>
      <c r="P5" s="151"/>
      <c r="Q5" s="151"/>
      <c r="R5" s="151"/>
    </row>
    <row r="6" spans="1:18" ht="32.25" customHeight="1" thickTop="1" thickBot="1" x14ac:dyDescent="0.3">
      <c r="A6" s="156">
        <v>5</v>
      </c>
      <c r="B6" s="172" t="s">
        <v>138</v>
      </c>
      <c r="C6" s="173"/>
      <c r="D6" s="174"/>
      <c r="E6" s="175">
        <f>E4/E3</f>
        <v>0.53260869565217395</v>
      </c>
      <c r="F6" s="158"/>
      <c r="G6" s="166">
        <v>2</v>
      </c>
      <c r="H6" s="176">
        <v>46082</v>
      </c>
      <c r="I6" s="168">
        <v>15259242900</v>
      </c>
      <c r="J6" s="169">
        <f t="shared" ref="J6:J9" si="0">+$E$10</f>
        <v>0.17972826086956523</v>
      </c>
      <c r="K6" s="170">
        <v>18387662770</v>
      </c>
      <c r="L6" s="171" t="str">
        <f>IF(IRR($I$4:I6,J6)&lt;$E$10,"Loyiha rad etilsin","Loyihani qabul qilish mumkin")</f>
        <v>Loyihani qabul qilish mumkin</v>
      </c>
      <c r="M6" s="177" t="s">
        <v>139</v>
      </c>
      <c r="N6" s="336"/>
      <c r="O6" s="336"/>
      <c r="P6" s="151"/>
      <c r="Q6" s="151"/>
      <c r="R6" s="151"/>
    </row>
    <row r="7" spans="1:18" ht="32.25" customHeight="1" thickTop="1" thickBot="1" x14ac:dyDescent="0.3">
      <c r="A7" s="156">
        <v>6</v>
      </c>
      <c r="B7" s="592" t="s">
        <v>140</v>
      </c>
      <c r="C7" s="593"/>
      <c r="D7" s="594"/>
      <c r="E7" s="175">
        <f>E5/E3</f>
        <v>0.46739130434782611</v>
      </c>
      <c r="F7" s="178"/>
      <c r="G7" s="166">
        <v>3</v>
      </c>
      <c r="H7" s="167">
        <v>46447</v>
      </c>
      <c r="I7" s="168">
        <v>42758060400</v>
      </c>
      <c r="J7" s="169">
        <f t="shared" si="0"/>
        <v>0.17972826086956523</v>
      </c>
      <c r="K7" s="170">
        <v>19513295472</v>
      </c>
      <c r="L7" s="171" t="str">
        <f>IF(IRR($I$4:I7,J7)&lt;$E$10,"Loyiha rad etilsin","Loyihani qabul qilish mumkin")</f>
        <v>Loyihani qabul qilish mumkin</v>
      </c>
      <c r="M7" s="151"/>
      <c r="N7" s="336"/>
      <c r="P7" s="151"/>
      <c r="Q7" s="151"/>
      <c r="R7" s="151"/>
    </row>
    <row r="8" spans="1:18" ht="32.25" customHeight="1" thickTop="1" thickBot="1" x14ac:dyDescent="0.3">
      <c r="A8" s="156">
        <v>7</v>
      </c>
      <c r="B8" s="589" t="s">
        <v>141</v>
      </c>
      <c r="C8" s="590"/>
      <c r="D8" s="591"/>
      <c r="E8" s="337">
        <f>+Xulosa!L8</f>
        <v>0.14000000000000001</v>
      </c>
      <c r="F8" s="179"/>
      <c r="G8" s="166">
        <v>4</v>
      </c>
      <c r="H8" s="167">
        <v>46813</v>
      </c>
      <c r="I8" s="168">
        <v>37564011200</v>
      </c>
      <c r="J8" s="169">
        <f t="shared" si="0"/>
        <v>0.17972826086956523</v>
      </c>
      <c r="K8" s="170">
        <v>21268438292</v>
      </c>
      <c r="L8" s="171" t="str">
        <f>IF(IRR($I$4:I8,J8)&lt;$E$10,"Loyiha rad etilsin","Loyihani qabul qilish mumkin")</f>
        <v>Loyihani qabul qilish mumkin</v>
      </c>
      <c r="M8" s="151"/>
      <c r="O8" s="336"/>
      <c r="P8" s="151"/>
      <c r="Q8" s="151"/>
      <c r="R8" s="151"/>
    </row>
    <row r="9" spans="1:18" ht="32.25" customHeight="1" outlineLevel="1" thickTop="1" thickBot="1" x14ac:dyDescent="0.3">
      <c r="A9" s="156">
        <v>8</v>
      </c>
      <c r="B9" s="592" t="s">
        <v>142</v>
      </c>
      <c r="C9" s="593"/>
      <c r="D9" s="594"/>
      <c r="E9" s="180">
        <v>0.22500000000000001</v>
      </c>
      <c r="F9" s="179"/>
      <c r="G9" s="166">
        <v>5</v>
      </c>
      <c r="H9" s="176">
        <v>47178</v>
      </c>
      <c r="I9" s="168">
        <v>62058342400</v>
      </c>
      <c r="J9" s="169">
        <f t="shared" si="0"/>
        <v>0.17972826086956523</v>
      </c>
      <c r="K9" s="170">
        <v>23202533279</v>
      </c>
      <c r="L9" s="171" t="str">
        <f>IF(IRR($I$4:I9,J9)&lt;$E$10,"Loyiha rad etilsin","Loyihani qabul qilish mumkin")</f>
        <v>Loyihani qabul qilish mumkin</v>
      </c>
      <c r="M9" s="151"/>
      <c r="P9" s="151"/>
      <c r="Q9" s="151"/>
      <c r="R9" s="151"/>
    </row>
    <row r="10" spans="1:18" ht="32.25" customHeight="1" outlineLevel="1" thickTop="1" thickBot="1" x14ac:dyDescent="0.3">
      <c r="A10" s="181">
        <v>9</v>
      </c>
      <c r="B10" s="595" t="s">
        <v>143</v>
      </c>
      <c r="C10" s="596"/>
      <c r="D10" s="597"/>
      <c r="E10" s="182">
        <f>+(E6*E8)+(E7*E9)</f>
        <v>0.17972826086956523</v>
      </c>
      <c r="F10" s="158"/>
      <c r="G10" s="166"/>
      <c r="H10" s="167"/>
      <c r="I10" s="168"/>
      <c r="J10" s="169"/>
      <c r="K10" s="170"/>
      <c r="L10" s="171"/>
      <c r="M10" s="151"/>
      <c r="P10" s="151"/>
      <c r="Q10" s="151"/>
      <c r="R10" s="151"/>
    </row>
    <row r="11" spans="1:18" ht="32.25" customHeight="1" outlineLevel="1" thickTop="1" thickBot="1" x14ac:dyDescent="0.3">
      <c r="F11" s="179"/>
      <c r="G11" s="166"/>
      <c r="H11" s="167"/>
      <c r="I11" s="168"/>
      <c r="J11" s="169"/>
      <c r="K11" s="170"/>
      <c r="L11" s="171"/>
      <c r="M11" s="198" t="s">
        <v>57</v>
      </c>
      <c r="P11" s="151"/>
      <c r="Q11" s="151"/>
      <c r="R11" s="151"/>
    </row>
    <row r="12" spans="1:18" ht="32.25" customHeight="1" outlineLevel="1" thickTop="1" thickBot="1" x14ac:dyDescent="0.3">
      <c r="A12" s="185" t="s">
        <v>144</v>
      </c>
      <c r="B12" s="186" t="s">
        <v>145</v>
      </c>
      <c r="C12" s="187" t="s">
        <v>146</v>
      </c>
      <c r="D12" s="188" t="s">
        <v>147</v>
      </c>
      <c r="E12" s="189">
        <f>Xulosa!L6</f>
        <v>84</v>
      </c>
      <c r="F12" s="179"/>
      <c r="G12" s="166"/>
      <c r="H12" s="176"/>
      <c r="I12" s="168"/>
      <c r="J12" s="169"/>
      <c r="K12" s="170"/>
      <c r="L12" s="171"/>
      <c r="M12" s="198">
        <f>IRR($I$4:I12,J12)</f>
        <v>2.2136092686452922</v>
      </c>
      <c r="P12" s="151"/>
      <c r="Q12" s="151"/>
      <c r="R12" s="151"/>
    </row>
    <row r="13" spans="1:18" ht="32.25" customHeight="1" outlineLevel="1" thickTop="1" thickBot="1" x14ac:dyDescent="0.3">
      <c r="A13" s="190">
        <v>10</v>
      </c>
      <c r="B13" s="191" t="s">
        <v>148</v>
      </c>
      <c r="C13" s="192" t="s">
        <v>149</v>
      </c>
      <c r="D13" s="598" t="s">
        <v>150</v>
      </c>
      <c r="E13" s="581">
        <f>G6</f>
        <v>2</v>
      </c>
      <c r="F13" s="178"/>
      <c r="G13" s="166"/>
      <c r="H13" s="167"/>
      <c r="I13" s="168"/>
      <c r="J13" s="169"/>
      <c r="K13" s="170"/>
      <c r="L13" s="171"/>
      <c r="M13" s="198">
        <f>IRR($I$4:I13,J13)</f>
        <v>2.2136092686452922</v>
      </c>
      <c r="P13" s="151"/>
      <c r="Q13" s="151"/>
      <c r="R13" s="151"/>
    </row>
    <row r="14" spans="1:18" ht="32.25" customHeight="1" outlineLevel="1" thickTop="1" thickBot="1" x14ac:dyDescent="0.3">
      <c r="A14" s="193">
        <v>8</v>
      </c>
      <c r="B14" s="194" t="s">
        <v>151</v>
      </c>
      <c r="C14" s="195" t="s">
        <v>152</v>
      </c>
      <c r="D14" s="598"/>
      <c r="E14" s="581"/>
      <c r="F14" s="196"/>
      <c r="G14" s="166"/>
      <c r="H14" s="176"/>
      <c r="I14" s="168"/>
      <c r="J14" s="169"/>
      <c r="K14" s="170"/>
      <c r="L14" s="171"/>
      <c r="M14" s="198">
        <f>IRR($I$4:I14,J14)</f>
        <v>2.2136092686452922</v>
      </c>
      <c r="P14" s="151"/>
      <c r="Q14" s="151"/>
      <c r="R14" s="151"/>
    </row>
    <row r="15" spans="1:18" ht="32.25" customHeight="1" outlineLevel="1" x14ac:dyDescent="0.25">
      <c r="A15" s="344">
        <v>6</v>
      </c>
      <c r="B15" s="345" t="s">
        <v>153</v>
      </c>
      <c r="C15" s="346" t="s">
        <v>154</v>
      </c>
      <c r="D15" s="598"/>
      <c r="E15" s="581"/>
      <c r="F15" s="197"/>
      <c r="G15" s="338"/>
      <c r="H15" s="338"/>
      <c r="I15" s="338"/>
      <c r="J15" s="338"/>
      <c r="K15" s="338"/>
      <c r="L15" s="338"/>
      <c r="M15" s="198"/>
      <c r="P15" s="151"/>
      <c r="Q15" s="151"/>
      <c r="R15" s="151"/>
    </row>
    <row r="16" spans="1:18" ht="32.25" customHeight="1" outlineLevel="1" x14ac:dyDescent="0.25">
      <c r="A16" s="344">
        <v>4</v>
      </c>
      <c r="B16" s="345" t="s">
        <v>155</v>
      </c>
      <c r="C16" s="346" t="s">
        <v>156</v>
      </c>
      <c r="D16" s="598"/>
      <c r="E16" s="581"/>
      <c r="F16" s="178"/>
      <c r="G16" s="338"/>
      <c r="H16" s="338"/>
      <c r="I16" s="338"/>
      <c r="J16" s="338"/>
      <c r="K16" s="338"/>
      <c r="L16" s="338"/>
      <c r="M16" s="198"/>
      <c r="P16" s="151"/>
      <c r="Q16" s="151"/>
      <c r="R16" s="151"/>
    </row>
    <row r="17" spans="1:18" ht="32.25" customHeight="1" outlineLevel="1" x14ac:dyDescent="0.25">
      <c r="A17" s="193">
        <v>2</v>
      </c>
      <c r="B17" s="194" t="s">
        <v>157</v>
      </c>
      <c r="C17" s="195" t="s">
        <v>158</v>
      </c>
      <c r="D17" s="598"/>
      <c r="E17" s="581"/>
      <c r="F17" s="178"/>
      <c r="G17" s="338"/>
      <c r="H17" s="338"/>
      <c r="I17" s="338"/>
      <c r="J17" s="338"/>
      <c r="K17" s="338"/>
      <c r="L17" s="338"/>
      <c r="M17" s="198"/>
      <c r="P17" s="151"/>
      <c r="Q17" s="151"/>
      <c r="R17" s="151"/>
    </row>
    <row r="18" spans="1:18" ht="32.25" customHeight="1" thickBot="1" x14ac:dyDescent="0.3">
      <c r="A18" s="364">
        <v>0</v>
      </c>
      <c r="B18" s="365" t="s">
        <v>159</v>
      </c>
      <c r="C18" s="366" t="s">
        <v>160</v>
      </c>
      <c r="D18" s="199" t="s">
        <v>161</v>
      </c>
      <c r="E18" s="200">
        <f>+E13/E12</f>
        <v>2.3809523809523808E-2</v>
      </c>
      <c r="F18" s="178"/>
      <c r="G18" s="338"/>
      <c r="H18" s="338"/>
      <c r="I18" s="338"/>
      <c r="J18" s="338"/>
      <c r="K18" s="338"/>
      <c r="L18" s="338"/>
      <c r="M18" s="198"/>
      <c r="P18" s="151"/>
      <c r="Q18" s="151"/>
      <c r="R18" s="151"/>
    </row>
    <row r="19" spans="1:18" ht="32.25" customHeight="1" x14ac:dyDescent="0.25">
      <c r="A19" s="201"/>
      <c r="B19" s="201"/>
      <c r="C19" s="201"/>
      <c r="D19" s="201"/>
      <c r="E19" s="201"/>
      <c r="F19" s="178"/>
      <c r="G19" s="338"/>
      <c r="H19" s="338"/>
      <c r="I19" s="338"/>
      <c r="J19" s="338"/>
      <c r="K19" s="338"/>
      <c r="L19" s="338"/>
      <c r="M19" s="198"/>
      <c r="P19" s="151"/>
      <c r="Q19" s="151"/>
      <c r="R19" s="151"/>
    </row>
    <row r="20" spans="1:18" ht="32.25" customHeight="1" x14ac:dyDescent="0.25">
      <c r="A20" s="201"/>
      <c r="B20" s="201"/>
      <c r="C20" s="201"/>
      <c r="D20" s="201"/>
      <c r="E20" s="201"/>
      <c r="F20" s="178"/>
      <c r="G20" s="338"/>
      <c r="H20" s="338"/>
      <c r="I20" s="338"/>
      <c r="J20" s="338"/>
      <c r="K20" s="338"/>
      <c r="L20" s="338"/>
      <c r="M20" s="198"/>
      <c r="P20" s="151"/>
      <c r="Q20" s="151"/>
      <c r="R20" s="151"/>
    </row>
    <row r="21" spans="1:18" ht="32.25" customHeight="1" x14ac:dyDescent="0.25">
      <c r="A21" s="201"/>
      <c r="B21" s="201"/>
      <c r="C21" s="201"/>
      <c r="D21" s="201"/>
      <c r="E21" s="201"/>
      <c r="F21" s="178"/>
      <c r="G21" s="338"/>
      <c r="H21" s="338"/>
      <c r="I21" s="338"/>
      <c r="J21" s="338"/>
      <c r="K21" s="338"/>
      <c r="L21" s="338"/>
      <c r="M21" s="198"/>
      <c r="P21" s="151"/>
      <c r="Q21" s="151"/>
      <c r="R21" s="151"/>
    </row>
    <row r="22" spans="1:18" ht="32.25" customHeight="1" x14ac:dyDescent="0.25">
      <c r="A22" s="201"/>
      <c r="B22" s="201"/>
      <c r="C22" s="201"/>
      <c r="D22" s="201"/>
      <c r="E22" s="201"/>
      <c r="F22" s="178"/>
      <c r="G22" s="338"/>
      <c r="H22" s="338"/>
      <c r="I22" s="338"/>
      <c r="J22" s="338"/>
      <c r="K22" s="338"/>
      <c r="L22" s="338"/>
      <c r="M22" s="198"/>
      <c r="P22" s="151"/>
      <c r="Q22" s="151"/>
      <c r="R22" s="151"/>
    </row>
    <row r="23" spans="1:18" ht="32.25" customHeight="1" x14ac:dyDescent="0.25">
      <c r="A23" s="202"/>
      <c r="B23" s="201"/>
      <c r="C23" s="203"/>
      <c r="D23" s="201"/>
      <c r="E23" s="201"/>
      <c r="F23" s="178"/>
      <c r="G23" s="338"/>
      <c r="H23" s="338"/>
      <c r="I23" s="338"/>
      <c r="J23" s="338"/>
      <c r="K23" s="338"/>
      <c r="L23" s="338"/>
      <c r="M23" s="198"/>
      <c r="P23" s="151"/>
      <c r="Q23" s="151"/>
      <c r="R23" s="151"/>
    </row>
    <row r="24" spans="1:18" ht="32.25" customHeight="1" x14ac:dyDescent="0.25">
      <c r="A24" s="202"/>
      <c r="B24" s="201"/>
      <c r="C24" s="203"/>
      <c r="D24" s="201"/>
      <c r="E24" s="201"/>
      <c r="F24" s="178"/>
      <c r="G24" s="338"/>
      <c r="H24" s="338"/>
      <c r="I24" s="338"/>
      <c r="J24" s="338"/>
      <c r="K24" s="338"/>
      <c r="L24" s="338"/>
      <c r="M24" s="198"/>
      <c r="P24" s="151"/>
      <c r="Q24" s="151"/>
      <c r="R24" s="151"/>
    </row>
    <row r="25" spans="1:18" ht="32.25" customHeight="1" x14ac:dyDescent="0.25">
      <c r="A25" s="204"/>
      <c r="B25" s="201"/>
      <c r="C25" s="201"/>
      <c r="D25" s="201"/>
      <c r="E25" s="201"/>
      <c r="F25" s="178"/>
      <c r="G25" s="338"/>
      <c r="H25" s="338"/>
      <c r="I25" s="338"/>
      <c r="J25" s="338"/>
      <c r="K25" s="338"/>
      <c r="L25" s="338"/>
      <c r="M25" s="198"/>
      <c r="P25" s="151"/>
      <c r="Q25" s="151"/>
      <c r="R25" s="151"/>
    </row>
    <row r="26" spans="1:18" ht="32.25" customHeight="1" x14ac:dyDescent="0.25">
      <c r="A26" s="204"/>
      <c r="B26" s="201"/>
      <c r="C26" s="201"/>
      <c r="D26" s="205"/>
      <c r="E26" s="203"/>
      <c r="F26" s="178"/>
      <c r="G26" s="338"/>
      <c r="H26" s="338"/>
      <c r="I26" s="338"/>
      <c r="J26" s="338"/>
      <c r="K26" s="338"/>
      <c r="L26" s="338"/>
      <c r="M26" s="198"/>
      <c r="P26" s="151"/>
      <c r="Q26" s="151"/>
      <c r="R26" s="151"/>
    </row>
    <row r="27" spans="1:18" ht="32.25" customHeight="1" x14ac:dyDescent="0.25">
      <c r="A27" s="204"/>
      <c r="B27" s="201"/>
      <c r="C27" s="201"/>
      <c r="D27" s="205"/>
      <c r="E27" s="203"/>
      <c r="F27" s="205"/>
      <c r="G27" s="338"/>
      <c r="H27" s="338"/>
      <c r="I27" s="338"/>
      <c r="J27" s="338"/>
      <c r="K27" s="338"/>
      <c r="L27" s="338"/>
      <c r="M27" s="198"/>
      <c r="P27" s="151"/>
      <c r="Q27" s="151"/>
      <c r="R27" s="151"/>
    </row>
    <row r="28" spans="1:18" ht="32.25" customHeight="1" x14ac:dyDescent="0.25">
      <c r="A28" s="204"/>
      <c r="B28" s="201"/>
      <c r="C28" s="201"/>
      <c r="D28" s="205"/>
      <c r="E28" s="206"/>
      <c r="F28" s="207"/>
      <c r="G28" s="338"/>
      <c r="H28" s="338"/>
      <c r="I28" s="338"/>
      <c r="J28" s="338"/>
      <c r="K28" s="338"/>
      <c r="L28" s="338"/>
      <c r="M28" s="198"/>
      <c r="P28" s="151"/>
      <c r="Q28" s="151"/>
      <c r="R28" s="151"/>
    </row>
  </sheetData>
  <sheetProtection formatCells="0" formatColumns="0" formatRows="0" insertColumns="0" insertRows="0" insertHyperlinks="0" deleteColumns="0" deleteRows="0" sort="0" autoFilter="0" pivotTables="0"/>
  <protectedRanges>
    <protectedRange sqref="A29:XFD87 L19:XFD28 A19:G28" name="Диапазон5"/>
    <protectedRange sqref="G5:I5 G6:H6 I6:I7 I15:I16 H7:H28 G14 G8:G9 G11:G12" name="Диапазон4"/>
    <protectedRange sqref="G29:L179 I17:I28 L15:L28 G7 G15:G28 G10 G13" name="Диапазон3"/>
    <protectedRange sqref="E13" name="Диапазон2"/>
    <protectedRange sqref="E9" name="Диапазон1"/>
  </protectedRanges>
  <mergeCells count="12">
    <mergeCell ref="E13:E17"/>
    <mergeCell ref="A1:L1"/>
    <mergeCell ref="B2:D2"/>
    <mergeCell ref="G2:L2"/>
    <mergeCell ref="B3:D3"/>
    <mergeCell ref="B4:D4"/>
    <mergeCell ref="B5:D5"/>
    <mergeCell ref="B7:D7"/>
    <mergeCell ref="B8:D8"/>
    <mergeCell ref="B9:D9"/>
    <mergeCell ref="B10:D10"/>
    <mergeCell ref="D13:D17"/>
  </mergeCells>
  <pageMargins left="0.70866141732283472" right="0.70866141732283472" top="0.59055118110236227" bottom="0.74803149606299213" header="0.31496062992125984" footer="0.31496062992125984"/>
  <pageSetup paperSize="9" scale="31"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R28"/>
  <sheetViews>
    <sheetView tabSelected="1" zoomScale="85" zoomScaleNormal="85" workbookViewId="0">
      <selection activeCell="B2" sqref="B2:D2"/>
    </sheetView>
  </sheetViews>
  <sheetFormatPr defaultColWidth="9.140625" defaultRowHeight="32.25" customHeight="1" outlineLevelRow="1" x14ac:dyDescent="0.25"/>
  <cols>
    <col min="1" max="1" width="8.42578125" style="183" bestFit="1" customWidth="1"/>
    <col min="2" max="2" width="49" style="184" bestFit="1" customWidth="1"/>
    <col min="3" max="3" width="13" style="184" bestFit="1" customWidth="1"/>
    <col min="4" max="4" width="26.28515625" style="184" customWidth="1"/>
    <col min="5" max="5" width="23.5703125" style="184" customWidth="1"/>
    <col min="6" max="6" width="2.85546875" style="184" customWidth="1"/>
    <col min="7" max="7" width="6.85546875" style="184" customWidth="1"/>
    <col min="8" max="8" width="24" style="184" customWidth="1"/>
    <col min="9" max="9" width="25.140625" style="184" customWidth="1"/>
    <col min="10" max="10" width="21.28515625" style="184" bestFit="1" customWidth="1"/>
    <col min="11" max="11" width="27.7109375" style="184" customWidth="1"/>
    <col min="12" max="12" width="37.5703125" style="184" bestFit="1" customWidth="1"/>
    <col min="13" max="13" width="80.5703125" style="184" bestFit="1" customWidth="1"/>
    <col min="14" max="14" width="24.140625" style="151" bestFit="1" customWidth="1"/>
    <col min="15" max="15" width="25.5703125" style="151" bestFit="1" customWidth="1"/>
    <col min="16" max="16" width="18.85546875" style="152" bestFit="1" customWidth="1"/>
    <col min="17" max="17" width="23.42578125" style="152" bestFit="1" customWidth="1"/>
    <col min="18" max="16384" width="9.140625" style="152"/>
  </cols>
  <sheetData>
    <row r="1" spans="1:18" ht="32.25" customHeight="1" thickBot="1" x14ac:dyDescent="0.3">
      <c r="A1" s="582" t="s">
        <v>128</v>
      </c>
      <c r="B1" s="582"/>
      <c r="C1" s="582"/>
      <c r="D1" s="582"/>
      <c r="E1" s="582"/>
      <c r="F1" s="582"/>
      <c r="G1" s="582"/>
      <c r="H1" s="582"/>
      <c r="I1" s="582"/>
      <c r="J1" s="582"/>
      <c r="K1" s="582"/>
      <c r="L1" s="582"/>
      <c r="M1" s="150"/>
      <c r="P1" s="151"/>
      <c r="Q1" s="151"/>
      <c r="R1" s="151"/>
    </row>
    <row r="2" spans="1:18" ht="32.25" customHeight="1" thickBot="1" x14ac:dyDescent="0.3">
      <c r="A2" s="153">
        <v>1</v>
      </c>
      <c r="B2" s="583" t="s">
        <v>129</v>
      </c>
      <c r="C2" s="584"/>
      <c r="D2" s="585"/>
      <c r="E2" s="154" t="str">
        <f>[6]Xulosa!L2</f>
        <v>UZS</v>
      </c>
      <c r="F2" s="155"/>
      <c r="G2" s="586" t="s">
        <v>130</v>
      </c>
      <c r="H2" s="587"/>
      <c r="I2" s="587"/>
      <c r="J2" s="587"/>
      <c r="K2" s="587"/>
      <c r="L2" s="588"/>
      <c r="M2" s="151"/>
      <c r="P2" s="151"/>
      <c r="Q2" s="151"/>
      <c r="R2" s="151"/>
    </row>
    <row r="3" spans="1:18" ht="72" customHeight="1" thickBot="1" x14ac:dyDescent="0.3">
      <c r="A3" s="156">
        <v>2</v>
      </c>
      <c r="B3" s="589" t="s">
        <v>131</v>
      </c>
      <c r="C3" s="590"/>
      <c r="D3" s="591"/>
      <c r="E3" s="157">
        <f>E4+E5</f>
        <v>9200000000</v>
      </c>
      <c r="F3" s="158"/>
      <c r="G3" s="159" t="s">
        <v>132</v>
      </c>
      <c r="H3" s="159" t="s">
        <v>133</v>
      </c>
      <c r="I3" s="159" t="s">
        <v>311</v>
      </c>
      <c r="J3" s="159" t="s">
        <v>135</v>
      </c>
      <c r="K3" s="160" t="s">
        <v>56</v>
      </c>
      <c r="L3" s="159" t="s">
        <v>57</v>
      </c>
      <c r="M3" s="151"/>
      <c r="P3" s="151"/>
      <c r="Q3" s="151"/>
      <c r="R3" s="151"/>
    </row>
    <row r="4" spans="1:18" ht="32.25" customHeight="1" thickBot="1" x14ac:dyDescent="0.3">
      <c r="A4" s="156">
        <v>3</v>
      </c>
      <c r="B4" s="589" t="s">
        <v>136</v>
      </c>
      <c r="C4" s="590"/>
      <c r="D4" s="591"/>
      <c r="E4" s="157">
        <f>Xulosa!L4</f>
        <v>4900000000</v>
      </c>
      <c r="F4" s="158"/>
      <c r="G4" s="471">
        <v>0</v>
      </c>
      <c r="H4" s="162"/>
      <c r="I4" s="163">
        <f>-E3</f>
        <v>-9200000000</v>
      </c>
      <c r="J4" s="164"/>
      <c r="K4" s="164"/>
      <c r="L4" s="165"/>
      <c r="M4" s="151"/>
      <c r="P4" s="151"/>
      <c r="Q4" s="151"/>
      <c r="R4" s="151"/>
    </row>
    <row r="5" spans="1:18" ht="32.25" customHeight="1" thickTop="1" thickBot="1" x14ac:dyDescent="0.3">
      <c r="A5" s="156">
        <v>4</v>
      </c>
      <c r="B5" s="592" t="s">
        <v>137</v>
      </c>
      <c r="C5" s="593"/>
      <c r="D5" s="594"/>
      <c r="E5" s="157">
        <f>Xulosa!L5</f>
        <v>4300000000</v>
      </c>
      <c r="F5" s="158"/>
      <c r="G5" s="166">
        <v>1</v>
      </c>
      <c r="H5" s="167"/>
      <c r="I5" s="168">
        <v>2377093102</v>
      </c>
      <c r="J5" s="169">
        <f>$E$10</f>
        <v>0.17009190997161472</v>
      </c>
      <c r="K5" s="170">
        <f>+NPV($J5,I5)+$I$4</f>
        <v>-7168456083.0288401</v>
      </c>
      <c r="L5" s="171" t="str">
        <f>IF(IRR($I$4:I5,J5)&lt;$E$10,"Loyiha rad etilsin","Loyihani qabul qilish mumkin")</f>
        <v>Loyiha rad etilsin</v>
      </c>
      <c r="M5" s="151"/>
      <c r="P5" s="151"/>
      <c r="Q5" s="151"/>
      <c r="R5" s="151"/>
    </row>
    <row r="6" spans="1:18" ht="32.25" customHeight="1" thickTop="1" thickBot="1" x14ac:dyDescent="0.3">
      <c r="A6" s="156">
        <v>5</v>
      </c>
      <c r="B6" s="367" t="s">
        <v>138</v>
      </c>
      <c r="C6" s="368"/>
      <c r="D6" s="369"/>
      <c r="E6" s="175">
        <f>E4/E3</f>
        <v>0.53260869565217395</v>
      </c>
      <c r="F6" s="158"/>
      <c r="G6" s="166">
        <v>2</v>
      </c>
      <c r="H6" s="167"/>
      <c r="I6" s="168">
        <v>1805615699</v>
      </c>
      <c r="J6" s="169">
        <f>$E$10</f>
        <v>0.17009190997161472</v>
      </c>
      <c r="K6" s="170">
        <f>+NPV($J6,$I$5:I6)+$I$4</f>
        <v>-5849636556.2390013</v>
      </c>
      <c r="L6" s="171" t="str">
        <f>IF(IRR($I$4:I6,J6)&lt;$E$10,"Loyiha rad etilsin","Loyihani qabul qilish mumkin")</f>
        <v>Loyiha rad etilsin</v>
      </c>
      <c r="M6" s="177" t="s">
        <v>139</v>
      </c>
      <c r="N6" s="336"/>
      <c r="O6" s="336"/>
      <c r="P6" s="151"/>
      <c r="Q6" s="151"/>
      <c r="R6" s="151"/>
    </row>
    <row r="7" spans="1:18" ht="32.25" customHeight="1" thickTop="1" thickBot="1" x14ac:dyDescent="0.3">
      <c r="A7" s="156">
        <v>6</v>
      </c>
      <c r="B7" s="592" t="s">
        <v>140</v>
      </c>
      <c r="C7" s="593"/>
      <c r="D7" s="594"/>
      <c r="E7" s="175">
        <f>E5/E3</f>
        <v>0.46739130434782611</v>
      </c>
      <c r="F7" s="178"/>
      <c r="G7" s="166">
        <v>3</v>
      </c>
      <c r="H7" s="167"/>
      <c r="I7" s="168">
        <v>2451935561</v>
      </c>
      <c r="J7" s="169">
        <f>$E$10</f>
        <v>0.17009190997161472</v>
      </c>
      <c r="K7" s="170">
        <f>+NPV($J7,$I$5:I7)+$I$4</f>
        <v>-4319080914.8506145</v>
      </c>
      <c r="L7" s="171" t="str">
        <f>IF(IRR($I$4:I7,J7)&lt;$E$10,"Loyiha rad etilsin","Loyihani qabul qilish mumkin")</f>
        <v>Loyiha rad etilsin</v>
      </c>
      <c r="M7" s="151"/>
      <c r="N7" s="336"/>
      <c r="P7" s="151"/>
      <c r="Q7" s="151"/>
      <c r="R7" s="151"/>
    </row>
    <row r="8" spans="1:18" ht="32.25" customHeight="1" thickTop="1" thickBot="1" x14ac:dyDescent="0.3">
      <c r="A8" s="156">
        <v>7</v>
      </c>
      <c r="B8" s="589" t="s">
        <v>141</v>
      </c>
      <c r="C8" s="590"/>
      <c r="D8" s="591"/>
      <c r="E8" s="180">
        <f>Xulosa!L8</f>
        <v>0.14000000000000001</v>
      </c>
      <c r="F8" s="179"/>
      <c r="G8" s="166">
        <v>4</v>
      </c>
      <c r="H8" s="167"/>
      <c r="I8" s="168">
        <v>2678947117</v>
      </c>
      <c r="J8" s="169">
        <f>$E$10</f>
        <v>0.17009190997161472</v>
      </c>
      <c r="K8" s="170">
        <f>+NPV($J8,$I$5:I8)+$I$4</f>
        <v>-2889909786.7576122</v>
      </c>
      <c r="L8" s="171" t="str">
        <f>IF(IRR($I$4:I8,J8)&lt;$E$10,"Loyiha rad etilsin","Loyihani qabul qilish mumkin")</f>
        <v>Loyiha rad etilsin</v>
      </c>
      <c r="M8" s="151"/>
      <c r="O8" s="336"/>
      <c r="P8" s="151"/>
      <c r="Q8" s="151"/>
      <c r="R8" s="151"/>
    </row>
    <row r="9" spans="1:18" ht="32.25" customHeight="1" outlineLevel="1" thickTop="1" thickBot="1" x14ac:dyDescent="0.3">
      <c r="A9" s="156">
        <v>8</v>
      </c>
      <c r="B9" s="592" t="s">
        <v>365</v>
      </c>
      <c r="C9" s="593"/>
      <c r="D9" s="594"/>
      <c r="E9" s="175">
        <v>0.23225305807052199</v>
      </c>
      <c r="F9" s="179"/>
      <c r="G9" s="166">
        <v>5</v>
      </c>
      <c r="H9" s="167"/>
      <c r="I9" s="168">
        <v>2866085548</v>
      </c>
      <c r="J9" s="169">
        <f>$E$10</f>
        <v>0.17009190997161472</v>
      </c>
      <c r="K9" s="170">
        <f>+NPV($J9,$I$5:I9)+$I$4</f>
        <v>-1583169543.780838</v>
      </c>
      <c r="L9" s="171" t="str">
        <f>IF(IRR($I$4:I9,J9)&lt;$E$10,"Loyiha rad etilsin","Loyihani qabul qilish mumkin")</f>
        <v>Loyiha rad etilsin</v>
      </c>
      <c r="M9" s="151"/>
      <c r="P9" s="151"/>
      <c r="Q9" s="151"/>
      <c r="R9" s="151"/>
    </row>
    <row r="10" spans="1:18" ht="32.25" customHeight="1" outlineLevel="1" thickTop="1" thickBot="1" x14ac:dyDescent="0.3">
      <c r="A10" s="181">
        <v>9</v>
      </c>
      <c r="B10" s="595" t="s">
        <v>143</v>
      </c>
      <c r="C10" s="596"/>
      <c r="D10" s="597"/>
      <c r="E10" s="182">
        <f>+(E6*E8)+(E7*E9)*(1-0.12)</f>
        <v>0.17009190997161472</v>
      </c>
      <c r="F10" s="158"/>
      <c r="G10" s="166">
        <v>6</v>
      </c>
      <c r="H10" s="167"/>
      <c r="I10" s="168">
        <v>3051126205</v>
      </c>
      <c r="J10" s="169">
        <f>$E$10</f>
        <v>0.17009190997161472</v>
      </c>
      <c r="K10" s="170">
        <f>+NPV($J10,$I$5:I10)+$I$4</f>
        <v>-394283272.41847038</v>
      </c>
      <c r="L10" s="171" t="str">
        <f>IF(IRR($I$4:I10,J10)&lt;$E$10,"Loyiha rad etilsin","Loyihani qabul qilish mumkin")</f>
        <v>Loyiha rad etilsin</v>
      </c>
      <c r="M10" s="151"/>
      <c r="P10" s="151"/>
      <c r="Q10" s="151"/>
      <c r="R10" s="151"/>
    </row>
    <row r="11" spans="1:18" ht="32.25" customHeight="1" outlineLevel="1" thickTop="1" thickBot="1" x14ac:dyDescent="0.3">
      <c r="F11" s="179"/>
      <c r="G11" s="166">
        <v>7</v>
      </c>
      <c r="H11" s="167"/>
      <c r="I11" s="168">
        <v>3285849340</v>
      </c>
      <c r="J11" s="169">
        <f>$E$10</f>
        <v>0.17009190997161472</v>
      </c>
      <c r="K11" s="170">
        <f>+NPV($J11,$I$5:I11)+$I$4</f>
        <v>699944693.57946968</v>
      </c>
      <c r="L11" s="171" t="str">
        <f>IF(IRR($I$4:I11,J11)&lt;$E$10,"Loyiha rad etilsin","Loyihani qabul qilish mumkin")</f>
        <v>Loyihani qabul qilish mumkin</v>
      </c>
      <c r="M11" s="198" t="s">
        <v>57</v>
      </c>
      <c r="P11" s="151"/>
      <c r="Q11" s="151"/>
      <c r="R11" s="151"/>
    </row>
    <row r="12" spans="1:18" ht="32.25" customHeight="1" outlineLevel="1" thickTop="1" thickBot="1" x14ac:dyDescent="0.3">
      <c r="A12" s="185" t="s">
        <v>144</v>
      </c>
      <c r="B12" s="186" t="s">
        <v>145</v>
      </c>
      <c r="C12" s="187" t="s">
        <v>146</v>
      </c>
      <c r="D12" s="188" t="s">
        <v>147</v>
      </c>
      <c r="E12" s="189">
        <v>5</v>
      </c>
      <c r="F12" s="179"/>
      <c r="G12" s="166"/>
      <c r="H12" s="176"/>
      <c r="I12" s="168"/>
      <c r="J12" s="169"/>
      <c r="K12" s="170"/>
      <c r="L12" s="171"/>
      <c r="M12" s="198">
        <f>IRR($I$4:I12,J12)</f>
        <v>0.19399155783688515</v>
      </c>
      <c r="P12" s="151"/>
      <c r="Q12" s="151"/>
      <c r="R12" s="151"/>
    </row>
    <row r="13" spans="1:18" ht="32.25" customHeight="1" outlineLevel="1" thickTop="1" thickBot="1" x14ac:dyDescent="0.3">
      <c r="A13" s="496">
        <v>10</v>
      </c>
      <c r="B13" s="497" t="s">
        <v>148</v>
      </c>
      <c r="C13" s="498" t="s">
        <v>149</v>
      </c>
      <c r="D13" s="598" t="s">
        <v>150</v>
      </c>
      <c r="E13" s="581">
        <v>5</v>
      </c>
      <c r="F13" s="178"/>
      <c r="G13" s="166"/>
      <c r="H13" s="167"/>
      <c r="I13" s="168"/>
      <c r="J13" s="169"/>
      <c r="K13" s="170"/>
      <c r="L13" s="171"/>
      <c r="M13" s="198">
        <f>IRR($I$4:I13,J13)</f>
        <v>0.19399155783688515</v>
      </c>
      <c r="P13" s="151"/>
      <c r="Q13" s="151"/>
      <c r="R13" s="151"/>
    </row>
    <row r="14" spans="1:18" ht="32.25" customHeight="1" outlineLevel="1" thickTop="1" thickBot="1" x14ac:dyDescent="0.3">
      <c r="A14" s="193">
        <v>8</v>
      </c>
      <c r="B14" s="194" t="s">
        <v>151</v>
      </c>
      <c r="C14" s="195" t="s">
        <v>152</v>
      </c>
      <c r="D14" s="598"/>
      <c r="E14" s="581"/>
      <c r="F14" s="196"/>
      <c r="G14" s="166"/>
      <c r="H14" s="167"/>
      <c r="I14" s="370"/>
      <c r="J14" s="169"/>
      <c r="K14" s="170"/>
      <c r="L14" s="171"/>
      <c r="M14" s="198">
        <f>IRR($I$4:I14,J14)</f>
        <v>0.19399155783688515</v>
      </c>
      <c r="P14" s="151"/>
      <c r="Q14" s="151"/>
      <c r="R14" s="151"/>
    </row>
    <row r="15" spans="1:18" ht="32.25" customHeight="1" outlineLevel="1" x14ac:dyDescent="0.25">
      <c r="A15" s="344">
        <v>6</v>
      </c>
      <c r="B15" s="345" t="s">
        <v>153</v>
      </c>
      <c r="C15" s="346" t="s">
        <v>154</v>
      </c>
      <c r="D15" s="598"/>
      <c r="E15" s="581"/>
      <c r="F15" s="197"/>
      <c r="G15" s="338"/>
      <c r="H15" s="338"/>
      <c r="I15" s="338"/>
      <c r="J15" s="338"/>
      <c r="K15" s="198"/>
      <c r="L15" s="198"/>
      <c r="M15" s="198"/>
      <c r="P15" s="151"/>
      <c r="Q15" s="151"/>
      <c r="R15" s="151"/>
    </row>
    <row r="16" spans="1:18" ht="32.25" customHeight="1" outlineLevel="1" x14ac:dyDescent="0.25">
      <c r="A16" s="193">
        <v>4</v>
      </c>
      <c r="B16" s="194" t="s">
        <v>155</v>
      </c>
      <c r="C16" s="195" t="s">
        <v>156</v>
      </c>
      <c r="D16" s="598"/>
      <c r="E16" s="581"/>
      <c r="F16" s="178"/>
      <c r="G16" s="338"/>
      <c r="H16" s="338"/>
      <c r="I16" s="338"/>
      <c r="J16" s="338"/>
      <c r="K16" s="198"/>
      <c r="L16" s="198"/>
      <c r="M16" s="198"/>
      <c r="P16" s="151"/>
      <c r="Q16" s="151"/>
      <c r="R16" s="151"/>
    </row>
    <row r="17" spans="1:18" ht="32.25" customHeight="1" outlineLevel="1" x14ac:dyDescent="0.25">
      <c r="A17" s="344">
        <v>10</v>
      </c>
      <c r="B17" s="345" t="s">
        <v>157</v>
      </c>
      <c r="C17" s="346" t="s">
        <v>158</v>
      </c>
      <c r="D17" s="598"/>
      <c r="E17" s="581"/>
      <c r="F17" s="178"/>
      <c r="G17" s="338"/>
      <c r="H17" s="338"/>
      <c r="I17" s="338"/>
      <c r="J17" s="338"/>
      <c r="K17" s="198"/>
      <c r="L17" s="198"/>
      <c r="M17" s="198"/>
      <c r="P17" s="151"/>
      <c r="Q17" s="151"/>
      <c r="R17" s="151"/>
    </row>
    <row r="18" spans="1:18" ht="32.25" customHeight="1" thickBot="1" x14ac:dyDescent="0.3">
      <c r="A18" s="193">
        <v>0</v>
      </c>
      <c r="B18" s="194" t="s">
        <v>159</v>
      </c>
      <c r="C18" s="195" t="s">
        <v>160</v>
      </c>
      <c r="D18" s="199" t="s">
        <v>161</v>
      </c>
      <c r="E18" s="200">
        <f>+E13/E12</f>
        <v>1</v>
      </c>
      <c r="F18" s="178"/>
      <c r="G18" s="338"/>
      <c r="H18" s="338"/>
      <c r="I18" s="444"/>
      <c r="J18" s="444"/>
      <c r="K18" s="198"/>
      <c r="L18" s="198"/>
      <c r="M18" s="198"/>
      <c r="P18" s="151"/>
      <c r="Q18" s="151"/>
      <c r="R18" s="151"/>
    </row>
    <row r="19" spans="1:18" ht="32.25" customHeight="1" x14ac:dyDescent="0.25">
      <c r="A19" s="201"/>
      <c r="B19" s="201"/>
      <c r="C19" s="201"/>
      <c r="D19" s="201"/>
      <c r="E19" s="201"/>
      <c r="F19" s="178"/>
      <c r="G19" s="338"/>
      <c r="H19" s="338"/>
      <c r="I19" s="444"/>
      <c r="J19" s="444"/>
      <c r="K19" s="444"/>
      <c r="L19" s="198"/>
      <c r="M19" s="198"/>
      <c r="P19" s="151"/>
      <c r="Q19" s="151"/>
      <c r="R19" s="151"/>
    </row>
    <row r="20" spans="1:18" ht="32.25" customHeight="1" x14ac:dyDescent="0.25">
      <c r="A20" s="201"/>
      <c r="B20" s="201"/>
      <c r="C20" s="201"/>
      <c r="D20" s="201"/>
      <c r="E20" s="201"/>
      <c r="F20" s="178"/>
      <c r="G20" s="338"/>
      <c r="H20" s="338"/>
      <c r="I20" s="444"/>
      <c r="J20" s="444"/>
      <c r="K20" s="444"/>
      <c r="L20" s="338"/>
      <c r="M20" s="198"/>
      <c r="P20" s="151"/>
      <c r="Q20" s="151"/>
      <c r="R20" s="151"/>
    </row>
    <row r="21" spans="1:18" ht="32.25" customHeight="1" x14ac:dyDescent="0.25">
      <c r="A21" s="201"/>
      <c r="B21" s="201"/>
      <c r="C21" s="201"/>
      <c r="D21" s="201"/>
      <c r="E21" s="201"/>
      <c r="F21" s="178"/>
      <c r="G21" s="338"/>
      <c r="H21" s="338"/>
      <c r="I21" s="444"/>
      <c r="J21" s="444"/>
      <c r="K21" s="444"/>
      <c r="L21" s="338"/>
      <c r="M21" s="198"/>
      <c r="P21" s="151"/>
      <c r="Q21" s="151"/>
      <c r="R21" s="151"/>
    </row>
    <row r="22" spans="1:18" ht="32.25" customHeight="1" x14ac:dyDescent="0.25">
      <c r="A22" s="201"/>
      <c r="B22" s="201"/>
      <c r="C22" s="201"/>
      <c r="D22" s="201"/>
      <c r="E22" s="201"/>
      <c r="F22" s="178"/>
      <c r="G22" s="338"/>
      <c r="H22" s="338"/>
      <c r="I22" s="444"/>
      <c r="J22" s="444"/>
      <c r="K22" s="444"/>
      <c r="L22" s="338"/>
      <c r="M22" s="198"/>
      <c r="P22" s="151"/>
      <c r="Q22" s="151"/>
      <c r="R22" s="151"/>
    </row>
    <row r="23" spans="1:18" ht="32.25" customHeight="1" x14ac:dyDescent="0.25">
      <c r="A23" s="202"/>
      <c r="B23" s="201"/>
      <c r="C23" s="203"/>
      <c r="D23" s="201"/>
      <c r="E23" s="201"/>
      <c r="F23" s="178"/>
      <c r="G23" s="338"/>
      <c r="H23" s="338"/>
      <c r="I23" s="338"/>
      <c r="J23" s="338"/>
      <c r="K23" s="444"/>
      <c r="L23" s="338"/>
      <c r="M23" s="198"/>
      <c r="P23" s="151"/>
      <c r="Q23" s="151"/>
      <c r="R23" s="151"/>
    </row>
    <row r="24" spans="1:18" ht="32.25" customHeight="1" x14ac:dyDescent="0.25">
      <c r="A24" s="202"/>
      <c r="B24" s="201"/>
      <c r="C24" s="203"/>
      <c r="D24" s="201"/>
      <c r="E24" s="201"/>
      <c r="F24" s="178"/>
      <c r="G24" s="338"/>
      <c r="H24" s="338"/>
      <c r="I24" s="338"/>
      <c r="J24" s="338"/>
      <c r="K24" s="444"/>
      <c r="L24" s="338"/>
      <c r="M24" s="198"/>
      <c r="P24" s="151"/>
      <c r="Q24" s="151"/>
      <c r="R24" s="151"/>
    </row>
    <row r="25" spans="1:18" ht="32.25" customHeight="1" x14ac:dyDescent="0.25">
      <c r="A25" s="204"/>
      <c r="B25" s="201"/>
      <c r="C25" s="201"/>
      <c r="D25" s="201"/>
      <c r="E25" s="201"/>
      <c r="F25" s="178"/>
      <c r="G25" s="338"/>
      <c r="H25" s="338"/>
      <c r="I25" s="338"/>
      <c r="J25" s="338"/>
      <c r="K25" s="444"/>
      <c r="L25" s="338"/>
      <c r="M25" s="198"/>
      <c r="P25" s="151"/>
      <c r="Q25" s="151"/>
      <c r="R25" s="151"/>
    </row>
    <row r="26" spans="1:18" ht="32.25" customHeight="1" x14ac:dyDescent="0.25">
      <c r="A26" s="204"/>
      <c r="B26" s="201"/>
      <c r="C26" s="201"/>
      <c r="D26" s="205"/>
      <c r="E26" s="203"/>
      <c r="F26" s="178"/>
      <c r="G26" s="338"/>
      <c r="H26" s="338"/>
      <c r="I26" s="338"/>
      <c r="J26" s="338"/>
      <c r="K26" s="338"/>
      <c r="L26" s="338"/>
      <c r="M26" s="198"/>
      <c r="P26" s="151"/>
      <c r="Q26" s="151"/>
      <c r="R26" s="151"/>
    </row>
    <row r="27" spans="1:18" ht="32.25" customHeight="1" x14ac:dyDescent="0.25">
      <c r="A27" s="204"/>
      <c r="B27" s="201"/>
      <c r="C27" s="201"/>
      <c r="D27" s="205"/>
      <c r="E27" s="203"/>
      <c r="F27" s="205"/>
      <c r="G27" s="338"/>
      <c r="H27" s="338"/>
      <c r="I27" s="338"/>
      <c r="J27" s="338"/>
      <c r="K27" s="338"/>
      <c r="L27" s="338"/>
      <c r="M27" s="198"/>
      <c r="P27" s="151"/>
      <c r="Q27" s="151"/>
      <c r="R27" s="151"/>
    </row>
    <row r="28" spans="1:18" ht="32.25" customHeight="1" x14ac:dyDescent="0.25">
      <c r="A28" s="204"/>
      <c r="B28" s="201"/>
      <c r="C28" s="201"/>
      <c r="D28" s="205"/>
      <c r="E28" s="206"/>
      <c r="F28" s="207"/>
      <c r="G28" s="338"/>
      <c r="H28" s="338"/>
      <c r="I28" s="338"/>
      <c r="J28" s="338"/>
      <c r="K28" s="338"/>
      <c r="L28" s="338"/>
      <c r="M28" s="198"/>
      <c r="P28" s="151"/>
      <c r="Q28" s="151"/>
      <c r="R28" s="151"/>
    </row>
  </sheetData>
  <sheetProtection formatCells="0" formatColumns="0" formatRows="0" insertColumns="0" insertRows="0" insertHyperlinks="0" deleteColumns="0" deleteRows="0" sort="0" autoFilter="0" pivotTables="0"/>
  <protectedRanges>
    <protectedRange sqref="A29:XFD87 L19:XFD28 A19:G28" name="Диапазон5"/>
    <protectedRange sqref="G5:H5 I12:I16 G6:G14 H6:H28" name="Диапазон4"/>
    <protectedRange sqref="G29:L179 I17 L19:L28 G15:G28 I23:I28" name="Диапазон3"/>
    <protectedRange sqref="E13" name="Диапазон2"/>
    <protectedRange sqref="E9" name="Диапазон1_1"/>
  </protectedRanges>
  <mergeCells count="12">
    <mergeCell ref="B5:D5"/>
    <mergeCell ref="B7:D7"/>
    <mergeCell ref="A1:L1"/>
    <mergeCell ref="B2:D2"/>
    <mergeCell ref="G2:L2"/>
    <mergeCell ref="B3:D3"/>
    <mergeCell ref="B4:D4"/>
    <mergeCell ref="B8:D8"/>
    <mergeCell ref="B9:D9"/>
    <mergeCell ref="B10:D10"/>
    <mergeCell ref="D13:D17"/>
    <mergeCell ref="E13:E17"/>
  </mergeCells>
  <pageMargins left="0.70866141732283472" right="0.70866141732283472" top="0.59055118110236227" bottom="0.74803149606299213" header="0.31496062992125984" footer="0.31496062992125984"/>
  <pageSetup paperSize="9" scale="31"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0"/>
  <sheetViews>
    <sheetView view="pageBreakPreview" topLeftCell="A22" zoomScale="70" zoomScaleNormal="40" zoomScaleSheetLayoutView="70" workbookViewId="0">
      <selection activeCell="F7" sqref="F7"/>
    </sheetView>
  </sheetViews>
  <sheetFormatPr defaultColWidth="9.140625" defaultRowHeight="16.5" x14ac:dyDescent="0.25"/>
  <cols>
    <col min="1" max="1" width="4.28515625" style="257" customWidth="1"/>
    <col min="2" max="2" width="73.85546875" style="212" customWidth="1"/>
    <col min="3" max="3" width="52" style="212" customWidth="1"/>
    <col min="4" max="4" width="22.140625" style="212" customWidth="1"/>
    <col min="5" max="5" width="39.140625" style="212" bestFit="1" customWidth="1"/>
    <col min="6" max="6" width="27.85546875" style="212" customWidth="1"/>
    <col min="7" max="7" width="31.5703125" style="212" customWidth="1"/>
    <col min="8" max="8" width="26.85546875" style="212" customWidth="1"/>
    <col min="9" max="9" width="28.42578125" style="212" bestFit="1" customWidth="1"/>
    <col min="10" max="10" width="22.85546875" style="212" customWidth="1"/>
    <col min="11" max="11" width="26.85546875" style="212" bestFit="1" customWidth="1"/>
    <col min="12" max="12" width="30.5703125" style="212" bestFit="1" customWidth="1"/>
    <col min="13" max="14" width="13.85546875" style="212" customWidth="1"/>
    <col min="15" max="16384" width="9.140625" style="212"/>
  </cols>
  <sheetData>
    <row r="1" spans="1:14" x14ac:dyDescent="0.25">
      <c r="A1" s="208"/>
      <c r="B1" s="209" t="s">
        <v>162</v>
      </c>
      <c r="C1" s="210"/>
      <c r="D1" s="211"/>
      <c r="E1" s="211"/>
      <c r="F1" s="211"/>
      <c r="G1" s="211"/>
      <c r="H1" s="211"/>
      <c r="I1" s="211"/>
      <c r="J1" s="211"/>
      <c r="K1" s="211"/>
      <c r="L1" s="211"/>
      <c r="M1" s="211"/>
      <c r="N1" s="211"/>
    </row>
    <row r="2" spans="1:14" x14ac:dyDescent="0.25">
      <c r="A2" s="213"/>
      <c r="B2" s="213"/>
      <c r="C2" s="213"/>
      <c r="D2" s="213"/>
      <c r="E2" s="213"/>
      <c r="F2" s="213"/>
      <c r="G2" s="213"/>
      <c r="H2" s="213"/>
      <c r="I2" s="214"/>
      <c r="J2" s="215"/>
      <c r="K2" s="216"/>
      <c r="L2" s="217"/>
      <c r="M2" s="217"/>
      <c r="N2" s="213"/>
    </row>
    <row r="3" spans="1:14" x14ac:dyDescent="0.25">
      <c r="A3" s="605" t="s">
        <v>163</v>
      </c>
      <c r="B3" s="605"/>
      <c r="C3" s="605"/>
      <c r="D3" s="605"/>
      <c r="E3" s="218"/>
      <c r="F3" s="218"/>
      <c r="G3" s="218"/>
      <c r="H3" s="218"/>
      <c r="I3" s="219"/>
      <c r="J3" s="219"/>
      <c r="K3" s="220"/>
      <c r="L3" s="221"/>
      <c r="M3" s="221"/>
      <c r="N3" s="222"/>
    </row>
    <row r="4" spans="1:14" x14ac:dyDescent="0.25">
      <c r="A4" s="606" t="s">
        <v>164</v>
      </c>
      <c r="B4" s="606"/>
      <c r="C4" s="606"/>
      <c r="D4" s="606"/>
      <c r="E4" s="606"/>
      <c r="F4" s="606"/>
      <c r="G4" s="606"/>
      <c r="H4" s="606"/>
      <c r="I4" s="606"/>
      <c r="J4" s="606"/>
      <c r="K4" s="606"/>
      <c r="L4" s="606"/>
      <c r="M4" s="606"/>
      <c r="N4" s="606"/>
    </row>
    <row r="5" spans="1:14" ht="82.5" x14ac:dyDescent="0.25">
      <c r="A5" s="223" t="s">
        <v>165</v>
      </c>
      <c r="B5" s="223" t="s">
        <v>166</v>
      </c>
      <c r="C5" s="224" t="s">
        <v>167</v>
      </c>
      <c r="D5" s="225" t="s">
        <v>168</v>
      </c>
      <c r="E5" s="225" t="s">
        <v>60</v>
      </c>
      <c r="F5" s="225" t="s">
        <v>62</v>
      </c>
      <c r="G5" s="223" t="s">
        <v>169</v>
      </c>
      <c r="H5" s="223" t="s">
        <v>170</v>
      </c>
      <c r="I5" s="223" t="s">
        <v>61</v>
      </c>
      <c r="J5" s="225" t="s">
        <v>171</v>
      </c>
      <c r="K5" s="223" t="s">
        <v>172</v>
      </c>
      <c r="L5" s="225" t="s">
        <v>173</v>
      </c>
      <c r="M5" s="225" t="s">
        <v>174</v>
      </c>
      <c r="N5" s="225" t="s">
        <v>59</v>
      </c>
    </row>
    <row r="6" spans="1:14" ht="117" customHeight="1" x14ac:dyDescent="0.25">
      <c r="A6" s="226">
        <v>1</v>
      </c>
      <c r="B6" s="227" t="s">
        <v>366</v>
      </c>
      <c r="C6" s="518" t="s">
        <v>375</v>
      </c>
      <c r="D6" s="339" t="s">
        <v>175</v>
      </c>
      <c r="E6" s="229">
        <v>10029645000</v>
      </c>
      <c r="F6" s="460">
        <v>4790000000</v>
      </c>
      <c r="G6" s="376"/>
      <c r="H6" s="229"/>
      <c r="I6" s="340">
        <v>4795151000</v>
      </c>
      <c r="J6" s="230"/>
      <c r="K6" s="230"/>
      <c r="L6" s="231"/>
      <c r="M6" s="232"/>
      <c r="N6" s="232"/>
    </row>
    <row r="7" spans="1:14" ht="117" customHeight="1" x14ac:dyDescent="0.25">
      <c r="A7" s="226"/>
      <c r="B7" s="227" t="s">
        <v>377</v>
      </c>
      <c r="C7" s="468" t="s">
        <v>379</v>
      </c>
      <c r="D7" s="339" t="s">
        <v>243</v>
      </c>
      <c r="E7" s="229"/>
      <c r="F7" s="460">
        <v>1335000000</v>
      </c>
      <c r="G7" s="376"/>
      <c r="H7" s="229"/>
      <c r="I7" s="340"/>
      <c r="J7" s="230"/>
      <c r="K7" s="230"/>
      <c r="L7" s="231"/>
      <c r="M7" s="232"/>
      <c r="N7" s="232"/>
    </row>
    <row r="8" spans="1:14" ht="66" x14ac:dyDescent="0.25">
      <c r="A8" s="226">
        <v>2</v>
      </c>
      <c r="B8" s="227" t="s">
        <v>378</v>
      </c>
      <c r="C8" s="468" t="s">
        <v>376</v>
      </c>
      <c r="D8" s="339" t="s">
        <v>243</v>
      </c>
      <c r="E8" s="229"/>
      <c r="F8" s="460">
        <v>6125000000</v>
      </c>
      <c r="G8" s="376"/>
      <c r="H8" s="229"/>
      <c r="I8" s="340"/>
      <c r="J8" s="229"/>
      <c r="K8" s="229"/>
      <c r="L8" s="229"/>
      <c r="M8" s="232"/>
      <c r="N8" s="227"/>
    </row>
    <row r="9" spans="1:14" x14ac:dyDescent="0.25">
      <c r="A9" s="607" t="s">
        <v>176</v>
      </c>
      <c r="B9" s="608"/>
      <c r="C9" s="608"/>
      <c r="D9" s="609"/>
      <c r="E9" s="235" t="s">
        <v>175</v>
      </c>
      <c r="F9" s="236">
        <f>+SUMIF(D6:D8,E9,F6:F8)+F46</f>
        <v>4790000000</v>
      </c>
      <c r="G9" s="237">
        <f>+F9/Xulosa!L4</f>
        <v>0.97755102040816322</v>
      </c>
      <c r="H9" s="333"/>
      <c r="I9" s="333"/>
      <c r="J9" s="237"/>
      <c r="K9" s="238"/>
      <c r="L9" s="238"/>
      <c r="M9" s="238"/>
      <c r="N9" s="238"/>
    </row>
    <row r="10" spans="1:14" x14ac:dyDescent="0.25">
      <c r="A10" s="600" t="s">
        <v>177</v>
      </c>
      <c r="B10" s="601"/>
      <c r="C10" s="601"/>
      <c r="D10" s="602"/>
      <c r="E10" s="239" t="s">
        <v>178</v>
      </c>
      <c r="F10" s="240">
        <f>+SUMIF(D6:D8,E10,F6:F8)</f>
        <v>0</v>
      </c>
      <c r="G10" s="241">
        <f>+F10/Xulosa!L4</f>
        <v>0</v>
      </c>
      <c r="H10" s="334"/>
      <c r="I10" s="334"/>
      <c r="J10" s="241"/>
      <c r="K10" s="242"/>
      <c r="L10" s="243"/>
      <c r="M10" s="242"/>
      <c r="N10" s="242"/>
    </row>
    <row r="11" spans="1:14" x14ac:dyDescent="0.25">
      <c r="A11" s="600" t="s">
        <v>179</v>
      </c>
      <c r="B11" s="601"/>
      <c r="C11" s="601"/>
      <c r="D11" s="602"/>
      <c r="E11" s="239"/>
      <c r="F11" s="240">
        <f>+F10+F9</f>
        <v>4790000000</v>
      </c>
      <c r="G11" s="241">
        <f>+F11/Xulosa!L4</f>
        <v>0.97755102040816322</v>
      </c>
      <c r="H11" s="334"/>
      <c r="I11" s="334"/>
      <c r="J11" s="241"/>
      <c r="K11" s="242"/>
      <c r="L11" s="242"/>
      <c r="M11" s="242"/>
      <c r="N11" s="242"/>
    </row>
    <row r="12" spans="1:14" x14ac:dyDescent="0.25">
      <c r="A12" s="478"/>
      <c r="B12" s="479"/>
      <c r="C12" s="479"/>
      <c r="D12" s="480"/>
      <c r="E12" s="480"/>
      <c r="F12" s="236"/>
      <c r="G12" s="237"/>
      <c r="H12" s="333"/>
      <c r="I12" s="333"/>
      <c r="J12" s="237"/>
      <c r="K12" s="238"/>
      <c r="L12" s="238"/>
      <c r="M12" s="238"/>
      <c r="N12" s="238"/>
    </row>
    <row r="13" spans="1:14" x14ac:dyDescent="0.25">
      <c r="A13" s="244"/>
      <c r="B13" s="244"/>
      <c r="C13" s="244"/>
      <c r="D13" s="244"/>
      <c r="E13" s="244"/>
      <c r="F13" s="245"/>
      <c r="G13" s="244"/>
      <c r="H13" s="244"/>
      <c r="I13" s="244"/>
      <c r="J13" s="244"/>
      <c r="K13" s="343"/>
      <c r="L13" s="343"/>
      <c r="M13" s="244"/>
      <c r="N13" s="151"/>
    </row>
    <row r="14" spans="1:14" x14ac:dyDescent="0.25">
      <c r="A14" s="246" t="s">
        <v>165</v>
      </c>
      <c r="B14" s="247" t="s">
        <v>180</v>
      </c>
      <c r="C14" s="246" t="s">
        <v>181</v>
      </c>
      <c r="D14" s="246" t="s">
        <v>182</v>
      </c>
      <c r="E14" s="246" t="s">
        <v>183</v>
      </c>
      <c r="F14" s="246" t="s">
        <v>144</v>
      </c>
      <c r="H14" s="248"/>
      <c r="I14" s="249"/>
      <c r="K14" s="258"/>
      <c r="L14" s="258"/>
    </row>
    <row r="15" spans="1:14" ht="49.5" x14ac:dyDescent="0.25">
      <c r="A15" s="250">
        <v>1</v>
      </c>
      <c r="B15" s="251" t="s">
        <v>184</v>
      </c>
      <c r="C15" s="603" t="s">
        <v>185</v>
      </c>
      <c r="D15" s="252">
        <v>10</v>
      </c>
      <c r="E15" s="253"/>
      <c r="F15" s="252">
        <f>D15*E15</f>
        <v>0</v>
      </c>
      <c r="H15" s="481"/>
      <c r="I15" s="482"/>
      <c r="K15" s="258"/>
      <c r="L15" s="258"/>
    </row>
    <row r="16" spans="1:14" ht="59.25" customHeight="1" x14ac:dyDescent="0.25">
      <c r="A16" s="250">
        <v>2</v>
      </c>
      <c r="B16" s="251" t="s">
        <v>186</v>
      </c>
      <c r="C16" s="603"/>
      <c r="D16" s="252">
        <v>10</v>
      </c>
      <c r="E16" s="253"/>
      <c r="F16" s="252">
        <f t="shared" ref="F16:F21" si="0">D16*E16</f>
        <v>0</v>
      </c>
      <c r="H16" s="248"/>
      <c r="I16" s="456"/>
      <c r="K16" s="259"/>
      <c r="L16" s="342"/>
    </row>
    <row r="17" spans="1:11" ht="34.5" customHeight="1" x14ac:dyDescent="0.25">
      <c r="A17" s="250">
        <v>3</v>
      </c>
      <c r="B17" s="254" t="s">
        <v>187</v>
      </c>
      <c r="C17" s="603"/>
      <c r="D17" s="252">
        <v>10</v>
      </c>
      <c r="E17" s="253"/>
      <c r="F17" s="252">
        <f t="shared" si="0"/>
        <v>0</v>
      </c>
      <c r="H17" s="248"/>
      <c r="I17" s="456"/>
    </row>
    <row r="18" spans="1:11" ht="28.5" customHeight="1" x14ac:dyDescent="0.25">
      <c r="A18" s="250">
        <v>4</v>
      </c>
      <c r="B18" s="254" t="s">
        <v>188</v>
      </c>
      <c r="C18" s="603"/>
      <c r="D18" s="252">
        <v>10</v>
      </c>
      <c r="E18" s="253"/>
      <c r="F18" s="252">
        <f t="shared" si="0"/>
        <v>0</v>
      </c>
      <c r="H18" s="248"/>
      <c r="I18" s="249"/>
    </row>
    <row r="19" spans="1:11" ht="141.75" customHeight="1" x14ac:dyDescent="0.25">
      <c r="A19" s="250">
        <v>5</v>
      </c>
      <c r="B19" s="251" t="s">
        <v>189</v>
      </c>
      <c r="C19" s="603"/>
      <c r="D19" s="252">
        <v>10</v>
      </c>
      <c r="E19" s="483"/>
      <c r="F19" s="252">
        <f t="shared" si="0"/>
        <v>0</v>
      </c>
      <c r="H19" s="501"/>
      <c r="K19" s="258"/>
    </row>
    <row r="20" spans="1:11" ht="34.5" customHeight="1" x14ac:dyDescent="0.25">
      <c r="A20" s="250">
        <v>6</v>
      </c>
      <c r="B20" s="254" t="s">
        <v>190</v>
      </c>
      <c r="C20" s="603"/>
      <c r="D20" s="252">
        <v>10</v>
      </c>
      <c r="E20" s="253"/>
      <c r="F20" s="252">
        <f t="shared" si="0"/>
        <v>0</v>
      </c>
      <c r="H20" s="248"/>
      <c r="I20" s="456"/>
    </row>
    <row r="21" spans="1:11" ht="84" customHeight="1" x14ac:dyDescent="0.25">
      <c r="A21" s="250">
        <v>7</v>
      </c>
      <c r="B21" s="251" t="s">
        <v>191</v>
      </c>
      <c r="C21" s="252" t="s">
        <v>192</v>
      </c>
      <c r="D21" s="252">
        <v>8</v>
      </c>
      <c r="E21" s="461">
        <f>F6/Xulosa!L4</f>
        <v>0.97755102040816322</v>
      </c>
      <c r="F21" s="485">
        <f t="shared" si="0"/>
        <v>7.8204081632653057</v>
      </c>
    </row>
    <row r="22" spans="1:11" x14ac:dyDescent="0.25">
      <c r="A22" s="250">
        <v>8</v>
      </c>
      <c r="B22" s="251" t="s">
        <v>193</v>
      </c>
      <c r="C22" s="252"/>
      <c r="D22" s="252">
        <v>7</v>
      </c>
      <c r="E22" s="462"/>
      <c r="F22" s="252"/>
    </row>
    <row r="23" spans="1:11" x14ac:dyDescent="0.25">
      <c r="A23" s="250">
        <v>9</v>
      </c>
      <c r="B23" s="251" t="s">
        <v>194</v>
      </c>
      <c r="C23" s="603" t="s">
        <v>195</v>
      </c>
      <c r="D23" s="252">
        <v>6</v>
      </c>
      <c r="E23" s="463"/>
      <c r="F23" s="252">
        <f>D23*E23</f>
        <v>0</v>
      </c>
    </row>
    <row r="24" spans="1:11" x14ac:dyDescent="0.25">
      <c r="A24" s="250">
        <v>10</v>
      </c>
      <c r="B24" s="251" t="s">
        <v>196</v>
      </c>
      <c r="C24" s="603"/>
      <c r="D24" s="252">
        <v>6</v>
      </c>
      <c r="E24" s="463"/>
      <c r="F24" s="252">
        <f>D24*E24</f>
        <v>0</v>
      </c>
    </row>
    <row r="25" spans="1:11" x14ac:dyDescent="0.25">
      <c r="A25" s="250">
        <v>11</v>
      </c>
      <c r="B25" s="251" t="s">
        <v>197</v>
      </c>
      <c r="C25" s="603"/>
      <c r="D25" s="252">
        <v>4</v>
      </c>
      <c r="E25" s="464"/>
      <c r="F25" s="252">
        <f>E25*D25</f>
        <v>0</v>
      </c>
    </row>
    <row r="26" spans="1:11" x14ac:dyDescent="0.25">
      <c r="A26" s="250">
        <v>12</v>
      </c>
      <c r="B26" s="251" t="s">
        <v>198</v>
      </c>
      <c r="C26" s="603" t="s">
        <v>199</v>
      </c>
      <c r="D26" s="252">
        <v>5</v>
      </c>
      <c r="E26" s="464"/>
      <c r="F26" s="252">
        <f>D26*E26</f>
        <v>0</v>
      </c>
    </row>
    <row r="27" spans="1:11" x14ac:dyDescent="0.25">
      <c r="A27" s="250">
        <v>13</v>
      </c>
      <c r="B27" s="251" t="s">
        <v>200</v>
      </c>
      <c r="C27" s="603"/>
      <c r="D27" s="252">
        <v>2</v>
      </c>
      <c r="E27" s="464"/>
      <c r="F27" s="252">
        <f>D27*E27</f>
        <v>0</v>
      </c>
    </row>
    <row r="28" spans="1:11" x14ac:dyDescent="0.25">
      <c r="A28" s="250">
        <v>14</v>
      </c>
      <c r="B28" s="251" t="s">
        <v>201</v>
      </c>
      <c r="C28" s="603"/>
      <c r="D28" s="252">
        <v>2</v>
      </c>
      <c r="E28" s="465"/>
      <c r="F28" s="252">
        <f>D28*E28</f>
        <v>0</v>
      </c>
    </row>
    <row r="29" spans="1:11" ht="119.25" customHeight="1" x14ac:dyDescent="0.25">
      <c r="A29" s="250">
        <v>15</v>
      </c>
      <c r="B29" s="251" t="s">
        <v>202</v>
      </c>
      <c r="C29" s="603"/>
      <c r="D29" s="252">
        <v>2</v>
      </c>
      <c r="E29" s="465"/>
      <c r="F29" s="467">
        <f>D29*E29</f>
        <v>0</v>
      </c>
    </row>
    <row r="30" spans="1:11" x14ac:dyDescent="0.25">
      <c r="A30" s="212"/>
      <c r="E30" s="255"/>
      <c r="F30" s="256">
        <f>SUM(F15:F29)</f>
        <v>7.8204081632653057</v>
      </c>
    </row>
    <row r="31" spans="1:11" ht="15" customHeight="1" thickBot="1" x14ac:dyDescent="0.3">
      <c r="F31" s="258"/>
      <c r="J31" s="258"/>
      <c r="K31" s="259"/>
    </row>
    <row r="32" spans="1:11" x14ac:dyDescent="0.25">
      <c r="B32" s="260" t="s">
        <v>144</v>
      </c>
      <c r="C32" s="261" t="s">
        <v>145</v>
      </c>
      <c r="D32" s="261" t="s">
        <v>203</v>
      </c>
    </row>
    <row r="33" spans="1:14" x14ac:dyDescent="0.25">
      <c r="B33" s="488">
        <v>10</v>
      </c>
      <c r="C33" s="489" t="s">
        <v>185</v>
      </c>
      <c r="D33" s="489">
        <v>10</v>
      </c>
    </row>
    <row r="34" spans="1:14" x14ac:dyDescent="0.25">
      <c r="B34" s="488">
        <v>8</v>
      </c>
      <c r="C34" s="489" t="s">
        <v>192</v>
      </c>
      <c r="D34" s="489" t="s">
        <v>204</v>
      </c>
      <c r="K34" s="258"/>
    </row>
    <row r="35" spans="1:14" ht="15.75" customHeight="1" x14ac:dyDescent="0.25">
      <c r="B35" s="262">
        <v>6</v>
      </c>
      <c r="C35" s="263" t="s">
        <v>195</v>
      </c>
      <c r="D35" s="263" t="s">
        <v>205</v>
      </c>
    </row>
    <row r="36" spans="1:14" x14ac:dyDescent="0.25">
      <c r="B36" s="488">
        <v>4</v>
      </c>
      <c r="C36" s="489" t="s">
        <v>195</v>
      </c>
      <c r="D36" s="489" t="s">
        <v>206</v>
      </c>
    </row>
    <row r="37" spans="1:14" x14ac:dyDescent="0.25">
      <c r="B37" s="454">
        <v>2</v>
      </c>
      <c r="C37" s="455" t="s">
        <v>199</v>
      </c>
      <c r="D37" s="455" t="s">
        <v>207</v>
      </c>
    </row>
    <row r="38" spans="1:14" x14ac:dyDescent="0.25">
      <c r="B38" s="454">
        <v>0</v>
      </c>
      <c r="C38" s="455" t="s">
        <v>199</v>
      </c>
      <c r="D38" s="455" t="s">
        <v>208</v>
      </c>
    </row>
    <row r="39" spans="1:14" x14ac:dyDescent="0.25">
      <c r="A39" s="264"/>
      <c r="B39" s="265"/>
      <c r="C39" s="265"/>
      <c r="D39" s="265"/>
      <c r="E39" s="265"/>
      <c r="F39" s="265"/>
      <c r="G39" s="265"/>
      <c r="H39" s="265"/>
      <c r="I39" s="265"/>
      <c r="J39" s="265"/>
      <c r="K39" s="265"/>
      <c r="L39" s="265"/>
      <c r="M39" s="265"/>
      <c r="N39" s="265"/>
    </row>
    <row r="40" spans="1:14" x14ac:dyDescent="0.25">
      <c r="A40" s="266"/>
      <c r="B40" s="267"/>
      <c r="C40" s="267"/>
      <c r="D40" s="267"/>
      <c r="E40" s="267"/>
      <c r="F40" s="267"/>
      <c r="G40" s="267"/>
      <c r="H40" s="267"/>
      <c r="I40" s="267"/>
      <c r="J40" s="267"/>
      <c r="K40" s="267"/>
      <c r="L40" s="267"/>
      <c r="M40" s="267"/>
      <c r="N40" s="267"/>
    </row>
    <row r="41" spans="1:14" x14ac:dyDescent="0.25">
      <c r="A41" s="244"/>
      <c r="B41" s="244"/>
      <c r="C41" s="244"/>
      <c r="D41" s="244"/>
      <c r="E41" s="244"/>
      <c r="F41" s="244"/>
      <c r="G41" s="268"/>
      <c r="H41" s="269"/>
      <c r="I41" s="244"/>
    </row>
    <row r="42" spans="1:14" x14ac:dyDescent="0.25">
      <c r="A42" s="604" t="s">
        <v>209</v>
      </c>
      <c r="B42" s="604"/>
      <c r="C42" s="604"/>
      <c r="D42" s="604"/>
      <c r="E42" s="604"/>
      <c r="F42" s="604"/>
      <c r="G42" s="604"/>
      <c r="H42" s="604"/>
      <c r="I42" s="604"/>
      <c r="N42" s="258"/>
    </row>
    <row r="43" spans="1:14" x14ac:dyDescent="0.25">
      <c r="A43" s="244"/>
      <c r="B43" s="244"/>
      <c r="C43" s="244"/>
      <c r="D43" s="244"/>
      <c r="E43" s="244"/>
      <c r="F43" s="244"/>
      <c r="G43" s="244"/>
      <c r="H43" s="244"/>
      <c r="I43" s="244"/>
      <c r="N43" s="259"/>
    </row>
    <row r="44" spans="1:14" ht="49.5" x14ac:dyDescent="0.25">
      <c r="A44" s="270" t="s">
        <v>165</v>
      </c>
      <c r="B44" s="270" t="s">
        <v>210</v>
      </c>
      <c r="C44" s="270" t="s">
        <v>211</v>
      </c>
      <c r="D44" s="270" t="s">
        <v>212</v>
      </c>
      <c r="E44" s="270" t="s">
        <v>213</v>
      </c>
      <c r="F44" s="270" t="s">
        <v>214</v>
      </c>
      <c r="G44" s="270" t="s">
        <v>215</v>
      </c>
      <c r="H44" s="270" t="s">
        <v>216</v>
      </c>
      <c r="I44" s="271" t="s">
        <v>174</v>
      </c>
    </row>
    <row r="45" spans="1:14" x14ac:dyDescent="0.25">
      <c r="A45" s="226">
        <v>1</v>
      </c>
      <c r="B45" s="272"/>
      <c r="C45" s="228"/>
      <c r="E45" s="227"/>
      <c r="F45" s="227"/>
      <c r="G45" s="227"/>
      <c r="H45" s="273"/>
      <c r="I45" s="234"/>
      <c r="N45" s="258"/>
    </row>
    <row r="46" spans="1:14" x14ac:dyDescent="0.25">
      <c r="A46" s="226"/>
      <c r="B46" s="272"/>
      <c r="C46" s="274"/>
      <c r="D46" s="227"/>
      <c r="E46" s="227"/>
      <c r="F46" s="227"/>
      <c r="G46" s="227"/>
      <c r="H46" s="273"/>
      <c r="I46" s="234"/>
    </row>
    <row r="47" spans="1:14" x14ac:dyDescent="0.25">
      <c r="A47" s="226"/>
      <c r="B47" s="272"/>
      <c r="C47" s="227"/>
      <c r="D47" s="227"/>
      <c r="E47" s="227"/>
      <c r="F47" s="227"/>
      <c r="G47" s="227"/>
      <c r="H47" s="273"/>
      <c r="I47" s="234"/>
    </row>
    <row r="48" spans="1:14" x14ac:dyDescent="0.25">
      <c r="A48" s="599" t="s">
        <v>217</v>
      </c>
      <c r="B48" s="599"/>
      <c r="C48" s="599"/>
      <c r="D48" s="599"/>
      <c r="E48" s="275"/>
      <c r="F48" s="275">
        <f>+F45+F46+F47</f>
        <v>0</v>
      </c>
      <c r="G48" s="275">
        <f>SUM(G45:G45)</f>
        <v>0</v>
      </c>
      <c r="H48" s="275">
        <f>SUM(H45:H46)</f>
        <v>0</v>
      </c>
      <c r="I48" s="276"/>
    </row>
    <row r="49" spans="1:12" x14ac:dyDescent="0.25">
      <c r="A49" s="277"/>
      <c r="B49" s="277"/>
      <c r="C49" s="277"/>
      <c r="D49" s="277"/>
      <c r="E49" s="277"/>
      <c r="F49" s="277"/>
      <c r="G49" s="277"/>
      <c r="H49" s="277"/>
      <c r="I49" s="277"/>
    </row>
    <row r="50" spans="1:12" x14ac:dyDescent="0.25">
      <c r="A50" s="599" t="s">
        <v>218</v>
      </c>
      <c r="B50" s="599"/>
      <c r="C50" s="599"/>
      <c r="D50" s="599"/>
      <c r="E50" s="599"/>
      <c r="F50" s="599"/>
      <c r="G50" s="599"/>
      <c r="H50" s="599"/>
      <c r="I50" s="278"/>
      <c r="K50" s="279"/>
      <c r="L50" s="280"/>
    </row>
  </sheetData>
  <mergeCells count="12">
    <mergeCell ref="A3:D3"/>
    <mergeCell ref="A4:N4"/>
    <mergeCell ref="A9:D9"/>
    <mergeCell ref="A10:D10"/>
    <mergeCell ref="A48:D48"/>
    <mergeCell ref="A50:F50"/>
    <mergeCell ref="G50:H50"/>
    <mergeCell ref="A11:D11"/>
    <mergeCell ref="C15:C20"/>
    <mergeCell ref="C23:C25"/>
    <mergeCell ref="C26:C29"/>
    <mergeCell ref="A42:I42"/>
  </mergeCells>
  <conditionalFormatting sqref="G48">
    <cfRule type="iconSet" priority="18">
      <iconSet iconSet="3Symbols">
        <cfvo type="percent" val="0"/>
        <cfvo type="num" val="0"/>
        <cfvo type="num" val="0"/>
      </iconSet>
    </cfRule>
  </conditionalFormatting>
  <conditionalFormatting sqref="H48">
    <cfRule type="iconSet" priority="17">
      <iconSet iconSet="3Symbols">
        <cfvo type="percent" val="0"/>
        <cfvo type="num" val="0"/>
        <cfvo type="num" val="0"/>
      </iconSet>
    </cfRule>
  </conditionalFormatting>
  <conditionalFormatting sqref="H45:H47">
    <cfRule type="iconSet" priority="16">
      <iconSet iconSet="3Symbols">
        <cfvo type="percent" val="0"/>
        <cfvo type="num" val="0"/>
        <cfvo type="num" val="0"/>
      </iconSet>
    </cfRule>
  </conditionalFormatting>
  <conditionalFormatting sqref="G50">
    <cfRule type="iconSet" priority="19">
      <iconSet iconSet="3Symbols">
        <cfvo type="percent" val="0"/>
        <cfvo type="num" val="0"/>
        <cfvo type="num" val="0"/>
      </iconSet>
    </cfRule>
  </conditionalFormatting>
  <conditionalFormatting sqref="J9">
    <cfRule type="iconSet" priority="15">
      <iconSet iconSet="3Symbols">
        <cfvo type="percent" val="0"/>
        <cfvo type="num" val="0"/>
        <cfvo type="num" val="0.65"/>
      </iconSet>
    </cfRule>
  </conditionalFormatting>
  <conditionalFormatting sqref="F48">
    <cfRule type="iconSet" priority="20">
      <iconSet iconSet="3Symbols">
        <cfvo type="percent" val="0"/>
        <cfvo type="num" val="0"/>
        <cfvo type="num" val="0"/>
      </iconSet>
    </cfRule>
  </conditionalFormatting>
  <conditionalFormatting sqref="G45:G47">
    <cfRule type="iconSet" priority="21">
      <iconSet iconSet="3Symbols">
        <cfvo type="percent" val="0"/>
        <cfvo type="num" val="0"/>
        <cfvo type="num" val="0"/>
      </iconSet>
    </cfRule>
  </conditionalFormatting>
  <conditionalFormatting sqref="F46:F47">
    <cfRule type="iconSet" priority="10">
      <iconSet iconSet="3Symbols">
        <cfvo type="percent" val="0"/>
        <cfvo type="num" val="0"/>
        <cfvo type="num" val="0"/>
      </iconSet>
    </cfRule>
  </conditionalFormatting>
  <conditionalFormatting sqref="F45">
    <cfRule type="iconSet" priority="5">
      <iconSet iconSet="3Symbols">
        <cfvo type="percent" val="0"/>
        <cfvo type="num" val="0"/>
        <cfvo type="num" val="0"/>
      </iconSet>
    </cfRule>
  </conditionalFormatting>
  <conditionalFormatting sqref="F13">
    <cfRule type="iconSet" priority="23">
      <iconSet iconSet="3Symbols">
        <cfvo type="percent" val="0"/>
        <cfvo type="num" val="0"/>
        <cfvo type="num" val="0"/>
      </iconSet>
    </cfRule>
  </conditionalFormatting>
  <conditionalFormatting sqref="J10:J12">
    <cfRule type="iconSet" priority="59">
      <iconSet iconSet="3Symbols">
        <cfvo type="percent" val="0"/>
        <cfvo type="num" val="0"/>
        <cfvo type="num" val="0.65"/>
      </iconSet>
    </cfRule>
  </conditionalFormatting>
  <conditionalFormatting sqref="F9:F12">
    <cfRule type="iconSet" priority="60">
      <iconSet iconSet="3Symbols">
        <cfvo type="percent" val="0"/>
        <cfvo type="num" val="0"/>
        <cfvo type="num" val="0"/>
      </iconSet>
    </cfRule>
  </conditionalFormatting>
  <pageMargins left="0.70866141732283472" right="0.70866141732283472" top="0.74803149606299213" bottom="0.74803149606299213" header="0.31496062992125984" footer="0.31496062992125984"/>
  <pageSetup paperSize="9" scale="31"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U27"/>
  <sheetViews>
    <sheetView view="pageBreakPreview" topLeftCell="D1" zoomScale="85" zoomScaleNormal="55" zoomScaleSheetLayoutView="85" workbookViewId="0">
      <selection activeCell="K8" sqref="K8"/>
    </sheetView>
  </sheetViews>
  <sheetFormatPr defaultColWidth="9.140625" defaultRowHeight="16.5" x14ac:dyDescent="0.25"/>
  <cols>
    <col min="1" max="1" width="9.28515625" style="212" bestFit="1" customWidth="1"/>
    <col min="2" max="2" width="37.140625" style="212" customWidth="1"/>
    <col min="3" max="3" width="13.28515625" style="212" customWidth="1"/>
    <col min="4" max="4" width="14" style="212" customWidth="1"/>
    <col min="5" max="5" width="13.42578125" style="212" customWidth="1"/>
    <col min="6" max="6" width="18.140625" style="212" bestFit="1" customWidth="1"/>
    <col min="7" max="7" width="28.7109375" style="212" bestFit="1" customWidth="1"/>
    <col min="8" max="9" width="16" style="212" bestFit="1" customWidth="1"/>
    <col min="10" max="10" width="21.85546875" style="212" bestFit="1" customWidth="1"/>
    <col min="11" max="11" width="45.7109375" style="212" bestFit="1" customWidth="1"/>
    <col min="12" max="12" width="14.85546875" style="212" customWidth="1"/>
    <col min="13" max="13" width="16.7109375" style="212" bestFit="1" customWidth="1"/>
    <col min="14" max="14" width="28.28515625" style="212" bestFit="1" customWidth="1"/>
    <col min="15" max="15" width="46.140625" style="212" bestFit="1" customWidth="1"/>
    <col min="16" max="16" width="17.42578125" style="212" hidden="1" customWidth="1"/>
    <col min="17" max="17" width="23.7109375" style="212" customWidth="1"/>
    <col min="18" max="18" width="9.140625" style="212"/>
    <col min="19" max="19" width="26.42578125" style="212" bestFit="1" customWidth="1"/>
    <col min="20" max="20" width="13.42578125" style="212" bestFit="1" customWidth="1"/>
    <col min="21" max="16384" width="9.140625" style="212"/>
  </cols>
  <sheetData>
    <row r="1" spans="1:21" ht="23.25" x14ac:dyDescent="0.25">
      <c r="A1" s="612" t="s">
        <v>219</v>
      </c>
      <c r="B1" s="612"/>
      <c r="C1" s="612"/>
      <c r="D1" s="612"/>
      <c r="E1" s="612"/>
      <c r="F1" s="612"/>
      <c r="G1" s="612"/>
      <c r="H1" s="612"/>
      <c r="I1" s="612"/>
      <c r="J1" s="612"/>
      <c r="K1" s="612"/>
      <c r="L1" s="612"/>
      <c r="M1" s="612"/>
      <c r="N1" s="612"/>
      <c r="O1" s="612"/>
      <c r="P1" s="612"/>
      <c r="Q1" s="612"/>
    </row>
    <row r="2" spans="1:21" x14ac:dyDescent="0.25">
      <c r="A2" s="216"/>
      <c r="B2" s="216"/>
      <c r="C2" s="216"/>
      <c r="D2" s="216"/>
      <c r="E2" s="216"/>
      <c r="F2" s="216"/>
      <c r="G2" s="216"/>
      <c r="H2" s="216"/>
      <c r="I2" s="216"/>
      <c r="J2" s="216"/>
      <c r="K2" s="216"/>
      <c r="L2" s="216"/>
      <c r="M2" s="216"/>
      <c r="N2" s="216"/>
      <c r="O2" s="216"/>
      <c r="P2" s="216"/>
      <c r="Q2" s="216"/>
    </row>
    <row r="3" spans="1:21" ht="149.25" thickBot="1" x14ac:dyDescent="0.3">
      <c r="A3" s="281" t="s">
        <v>165</v>
      </c>
      <c r="B3" s="281" t="s">
        <v>220</v>
      </c>
      <c r="C3" s="281" t="s">
        <v>221</v>
      </c>
      <c r="D3" s="281" t="s">
        <v>222</v>
      </c>
      <c r="E3" s="281" t="s">
        <v>223</v>
      </c>
      <c r="F3" s="281" t="s">
        <v>310</v>
      </c>
      <c r="G3" s="281" t="s">
        <v>224</v>
      </c>
      <c r="H3" s="281" t="s">
        <v>225</v>
      </c>
      <c r="I3" s="281" t="s">
        <v>226</v>
      </c>
      <c r="J3" s="281" t="s">
        <v>227</v>
      </c>
      <c r="K3" s="281" t="s">
        <v>228</v>
      </c>
      <c r="L3" s="281" t="s">
        <v>229</v>
      </c>
      <c r="M3" s="281" t="s">
        <v>230</v>
      </c>
      <c r="N3" s="281" t="s">
        <v>231</v>
      </c>
      <c r="O3" s="281" t="s">
        <v>232</v>
      </c>
      <c r="P3" s="281" t="s">
        <v>233</v>
      </c>
      <c r="Q3" s="282" t="s">
        <v>234</v>
      </c>
    </row>
    <row r="4" spans="1:21" ht="36.75" customHeight="1" x14ac:dyDescent="0.25">
      <c r="A4" s="281"/>
      <c r="B4" s="281">
        <v>1</v>
      </c>
      <c r="C4" s="281">
        <v>2</v>
      </c>
      <c r="D4" s="281">
        <v>3</v>
      </c>
      <c r="E4" s="281">
        <v>4</v>
      </c>
      <c r="F4" s="281">
        <v>5</v>
      </c>
      <c r="G4" s="281">
        <v>6</v>
      </c>
      <c r="H4" s="281">
        <v>7</v>
      </c>
      <c r="I4" s="281">
        <v>8</v>
      </c>
      <c r="J4" s="281">
        <v>9</v>
      </c>
      <c r="K4" s="281">
        <v>10</v>
      </c>
      <c r="L4" s="281">
        <v>11</v>
      </c>
      <c r="M4" s="281">
        <v>12</v>
      </c>
      <c r="N4" s="281">
        <v>13</v>
      </c>
      <c r="O4" s="281">
        <v>14</v>
      </c>
      <c r="P4" s="281" t="s">
        <v>235</v>
      </c>
      <c r="Q4" s="281">
        <v>16</v>
      </c>
      <c r="S4" s="283" t="s">
        <v>236</v>
      </c>
      <c r="T4" s="284"/>
      <c r="U4" s="285" t="s">
        <v>237</v>
      </c>
    </row>
    <row r="5" spans="1:21" x14ac:dyDescent="0.25">
      <c r="A5" s="286">
        <v>1</v>
      </c>
      <c r="B5" s="287"/>
      <c r="C5" s="287"/>
      <c r="D5" s="287"/>
      <c r="E5" s="288"/>
      <c r="F5" s="300"/>
      <c r="G5" s="286"/>
      <c r="H5" s="290"/>
      <c r="I5" s="290"/>
      <c r="J5" s="286"/>
      <c r="K5" s="286"/>
      <c r="M5" s="286"/>
      <c r="N5" s="466"/>
      <c r="O5" s="286"/>
      <c r="P5" s="292"/>
      <c r="Q5" s="341"/>
      <c r="S5" s="293" t="s">
        <v>238</v>
      </c>
      <c r="T5" s="294"/>
      <c r="U5" s="295" t="s">
        <v>237</v>
      </c>
    </row>
    <row r="6" spans="1:21" x14ac:dyDescent="0.25">
      <c r="A6" s="286">
        <v>2</v>
      </c>
      <c r="B6" s="287"/>
      <c r="C6" s="287"/>
      <c r="D6" s="287"/>
      <c r="E6" s="288"/>
      <c r="F6" s="300"/>
      <c r="G6" s="286"/>
      <c r="H6" s="286"/>
      <c r="I6" s="286"/>
      <c r="J6" s="286"/>
      <c r="K6" s="286"/>
      <c r="L6" s="286"/>
      <c r="M6" s="286"/>
      <c r="N6" s="466"/>
      <c r="O6" s="286"/>
      <c r="P6" s="292"/>
      <c r="Q6" s="341"/>
      <c r="S6" s="293" t="s">
        <v>239</v>
      </c>
      <c r="T6" s="294"/>
      <c r="U6" s="295" t="s">
        <v>237</v>
      </c>
    </row>
    <row r="7" spans="1:21" ht="17.25" thickBot="1" x14ac:dyDescent="0.3">
      <c r="A7" s="286">
        <v>3</v>
      </c>
      <c r="B7" s="287"/>
      <c r="C7" s="287"/>
      <c r="D7" s="287"/>
      <c r="E7" s="296"/>
      <c r="F7" s="300"/>
      <c r="G7" s="286"/>
      <c r="H7" s="286"/>
      <c r="I7" s="286"/>
      <c r="J7" s="286"/>
      <c r="K7" s="286"/>
      <c r="L7" s="286"/>
      <c r="M7" s="286"/>
      <c r="N7" s="291"/>
      <c r="O7" s="286"/>
      <c r="P7" s="292"/>
      <c r="Q7" s="286"/>
      <c r="S7" s="297" t="s">
        <v>240</v>
      </c>
      <c r="T7" s="298"/>
      <c r="U7" s="299" t="s">
        <v>237</v>
      </c>
    </row>
    <row r="8" spans="1:21" x14ac:dyDescent="0.25">
      <c r="A8" s="286">
        <v>5</v>
      </c>
      <c r="B8" s="287"/>
      <c r="C8" s="287"/>
      <c r="D8" s="287"/>
      <c r="E8" s="296"/>
      <c r="F8" s="300"/>
      <c r="G8" s="286"/>
      <c r="H8" s="286"/>
      <c r="I8" s="286"/>
      <c r="J8" s="286"/>
      <c r="K8" s="286"/>
      <c r="L8" s="286"/>
      <c r="M8" s="286"/>
      <c r="N8" s="291"/>
      <c r="O8" s="286"/>
      <c r="P8" s="292"/>
      <c r="Q8" s="286"/>
    </row>
    <row r="9" spans="1:21" x14ac:dyDescent="0.25">
      <c r="A9" s="286">
        <v>6</v>
      </c>
      <c r="B9" s="287"/>
      <c r="C9" s="287"/>
      <c r="D9" s="287"/>
      <c r="E9" s="296"/>
      <c r="F9" s="300"/>
      <c r="G9" s="286"/>
      <c r="H9" s="290"/>
      <c r="I9" s="290"/>
      <c r="J9" s="286"/>
      <c r="K9" s="286"/>
      <c r="L9" s="286"/>
      <c r="M9" s="286"/>
      <c r="N9" s="291"/>
      <c r="O9" s="286"/>
      <c r="P9" s="292"/>
      <c r="Q9" s="286"/>
    </row>
    <row r="10" spans="1:21" x14ac:dyDescent="0.25">
      <c r="A10" s="286">
        <v>7</v>
      </c>
      <c r="B10" s="287"/>
      <c r="C10" s="287"/>
      <c r="D10" s="287"/>
      <c r="E10" s="296"/>
      <c r="F10" s="289"/>
      <c r="G10" s="286"/>
      <c r="H10" s="290"/>
      <c r="I10" s="290"/>
      <c r="K10" s="286"/>
      <c r="L10" s="286"/>
      <c r="M10" s="286"/>
      <c r="N10" s="291"/>
      <c r="O10" s="286"/>
      <c r="P10" s="292"/>
      <c r="Q10" s="286"/>
    </row>
    <row r="11" spans="1:21" x14ac:dyDescent="0.25">
      <c r="A11" s="300" t="s">
        <v>241</v>
      </c>
      <c r="B11" s="300" t="s">
        <v>242</v>
      </c>
      <c r="C11" s="300" t="s">
        <v>243</v>
      </c>
      <c r="D11" s="300"/>
      <c r="E11" s="300" t="s">
        <v>243</v>
      </c>
      <c r="F11" s="300" t="s">
        <v>244</v>
      </c>
      <c r="G11" s="300">
        <f>+G5+G6</f>
        <v>0</v>
      </c>
      <c r="H11" s="300" t="s">
        <v>243</v>
      </c>
      <c r="I11" s="300" t="s">
        <v>243</v>
      </c>
      <c r="J11" s="300">
        <f>+SUM(J10:J10)</f>
        <v>0</v>
      </c>
      <c r="K11" s="300">
        <f>SUM(K7:K10)</f>
        <v>0</v>
      </c>
      <c r="L11" s="300">
        <f>SUMIF($O$66:$O$66,$O$69,L6:L6)</f>
        <v>0</v>
      </c>
      <c r="M11" s="300">
        <f>SUMIF($O$66:$O$66,$O$69,M5:M5)</f>
        <v>0</v>
      </c>
      <c r="N11" s="300" t="s">
        <v>243</v>
      </c>
      <c r="O11" s="300">
        <f>+SUM(O10:O10)</f>
        <v>0</v>
      </c>
      <c r="P11" s="300" t="e">
        <f>P5+P6+P7+#REF!</f>
        <v>#REF!</v>
      </c>
      <c r="Q11" s="300" t="s">
        <v>243</v>
      </c>
    </row>
    <row r="12" spans="1:21" x14ac:dyDescent="0.25">
      <c r="A12" s="300" t="s">
        <v>241</v>
      </c>
      <c r="B12" s="300" t="s">
        <v>245</v>
      </c>
      <c r="C12" s="300" t="s">
        <v>243</v>
      </c>
      <c r="D12" s="300"/>
      <c r="E12" s="300" t="s">
        <v>243</v>
      </c>
      <c r="F12" s="300" t="s">
        <v>0</v>
      </c>
      <c r="G12" s="300">
        <f>+G7</f>
        <v>0</v>
      </c>
      <c r="H12" s="300" t="s">
        <v>243</v>
      </c>
      <c r="I12" s="300" t="s">
        <v>243</v>
      </c>
      <c r="J12" s="300">
        <f>+J7</f>
        <v>0</v>
      </c>
      <c r="K12" s="300">
        <f>SUMIF($O$66:$O$66,$O$70,K5:K5)</f>
        <v>0</v>
      </c>
      <c r="L12" s="300">
        <f>SUMIF($O$66:$O$66,$O$70,L6:L6)</f>
        <v>0</v>
      </c>
      <c r="M12" s="300">
        <f>SUMIF($O$66:$O$66,$O$70,M5:M5)</f>
        <v>0</v>
      </c>
      <c r="N12" s="300" t="s">
        <v>243</v>
      </c>
      <c r="O12" s="300">
        <f>+O5+O6</f>
        <v>0</v>
      </c>
      <c r="P12" s="300" t="e">
        <f>#REF!</f>
        <v>#REF!</v>
      </c>
      <c r="Q12" s="300" t="s">
        <v>243</v>
      </c>
      <c r="T12" s="258"/>
    </row>
    <row r="13" spans="1:21" x14ac:dyDescent="0.25">
      <c r="A13" s="300"/>
      <c r="B13" s="300" t="s">
        <v>246</v>
      </c>
      <c r="C13" s="300" t="s">
        <v>243</v>
      </c>
      <c r="D13" s="300"/>
      <c r="E13" s="300" t="s">
        <v>243</v>
      </c>
      <c r="F13" s="300" t="s">
        <v>247</v>
      </c>
      <c r="G13" s="300">
        <v>0</v>
      </c>
      <c r="H13" s="300" t="s">
        <v>243</v>
      </c>
      <c r="I13" s="300" t="s">
        <v>243</v>
      </c>
      <c r="J13" s="300">
        <v>0</v>
      </c>
      <c r="K13" s="300">
        <f>SUMIF($O$66:$O$66,$O$71,K5:K5)</f>
        <v>0</v>
      </c>
      <c r="L13" s="300">
        <f>SUMIF($O$66:$O$66,$O$71,L6:L6)</f>
        <v>0</v>
      </c>
      <c r="M13" s="300">
        <f>SUMIF($O$66:$O$66,$O$71,M5:M5)</f>
        <v>0</v>
      </c>
      <c r="N13" s="300"/>
      <c r="O13" s="300">
        <f>+SUM(O7:O9)</f>
        <v>0</v>
      </c>
      <c r="P13" s="300">
        <f>SUMIF($O$66:$O$66,$O$71,P5:P5)</f>
        <v>0</v>
      </c>
      <c r="Q13" s="300" t="s">
        <v>243</v>
      </c>
    </row>
    <row r="14" spans="1:21" ht="17.25" thickBot="1" x14ac:dyDescent="0.3">
      <c r="A14" s="300"/>
      <c r="B14" s="300" t="s">
        <v>248</v>
      </c>
      <c r="C14" s="300" t="s">
        <v>243</v>
      </c>
      <c r="D14" s="300"/>
      <c r="E14" s="300" t="s">
        <v>243</v>
      </c>
      <c r="F14" s="300"/>
      <c r="G14" s="301">
        <f>+SUM(G5:G10)</f>
        <v>0</v>
      </c>
      <c r="H14" s="300" t="s">
        <v>243</v>
      </c>
      <c r="I14" s="300" t="s">
        <v>243</v>
      </c>
      <c r="J14" s="301">
        <f>+SUM(J5:J10)</f>
        <v>0</v>
      </c>
      <c r="K14" s="300">
        <f ca="1">K11+(K12*$M$13)+(K13*$M$14)</f>
        <v>0</v>
      </c>
      <c r="L14" s="302">
        <f ca="1">L11+(L12*$M$13)+(L13*$M$14)</f>
        <v>0</v>
      </c>
      <c r="M14" s="302">
        <f ca="1">M11+(M12*$M$13)+(M13*$M$14)</f>
        <v>0</v>
      </c>
      <c r="N14" s="302" t="s">
        <v>243</v>
      </c>
      <c r="O14" s="303">
        <f>+SUM(O5:O10)</f>
        <v>0</v>
      </c>
      <c r="P14" s="300">
        <f ca="1">P11+(P12*$M$13)+(P13*$M$14)</f>
        <v>0</v>
      </c>
      <c r="Q14" s="300">
        <f>SUM(Q5:Q5)</f>
        <v>0</v>
      </c>
    </row>
    <row r="15" spans="1:21" ht="17.25" thickBot="1" x14ac:dyDescent="0.3">
      <c r="L15" s="613" t="s">
        <v>249</v>
      </c>
      <c r="M15" s="614"/>
      <c r="N15" s="614"/>
      <c r="O15" s="304"/>
      <c r="P15" s="305"/>
      <c r="Q15" s="305"/>
    </row>
    <row r="16" spans="1:21" ht="15" customHeight="1" x14ac:dyDescent="0.25">
      <c r="L16" s="615" t="s">
        <v>250</v>
      </c>
      <c r="M16" s="616"/>
      <c r="N16" s="616"/>
      <c r="O16" s="304">
        <v>139929680.37</v>
      </c>
      <c r="P16" s="306"/>
    </row>
    <row r="17" spans="1:16" ht="17.25" thickBot="1" x14ac:dyDescent="0.3">
      <c r="L17" s="617" t="s">
        <v>251</v>
      </c>
      <c r="M17" s="618"/>
      <c r="N17" s="618"/>
      <c r="O17" s="307">
        <f>O15+O16</f>
        <v>139929680.37</v>
      </c>
      <c r="P17" s="306"/>
    </row>
    <row r="18" spans="1:16" s="233" customFormat="1" x14ac:dyDescent="0.25">
      <c r="A18" s="308" t="s">
        <v>144</v>
      </c>
      <c r="B18" s="619" t="s">
        <v>145</v>
      </c>
      <c r="C18" s="619"/>
      <c r="D18" s="619"/>
      <c r="E18" s="619"/>
      <c r="L18" s="309"/>
      <c r="M18" s="309"/>
      <c r="P18" s="310"/>
    </row>
    <row r="19" spans="1:16" s="233" customFormat="1" ht="39.950000000000003" customHeight="1" x14ac:dyDescent="0.25">
      <c r="A19" s="486">
        <v>10</v>
      </c>
      <c r="B19" s="610" t="s">
        <v>252</v>
      </c>
      <c r="C19" s="610"/>
      <c r="D19" s="610"/>
      <c r="E19" s="610"/>
    </row>
    <row r="20" spans="1:16" s="233" customFormat="1" ht="39.950000000000003" customHeight="1" x14ac:dyDescent="0.25">
      <c r="A20" s="487">
        <v>8</v>
      </c>
      <c r="B20" s="610" t="s">
        <v>253</v>
      </c>
      <c r="C20" s="610"/>
      <c r="D20" s="610"/>
      <c r="E20" s="610"/>
    </row>
    <row r="21" spans="1:16" s="233" customFormat="1" ht="39.950000000000003" customHeight="1" x14ac:dyDescent="0.25">
      <c r="A21" s="311">
        <v>6</v>
      </c>
      <c r="B21" s="611" t="s">
        <v>254</v>
      </c>
      <c r="C21" s="611"/>
      <c r="D21" s="611"/>
      <c r="E21" s="611"/>
    </row>
    <row r="22" spans="1:16" s="233" customFormat="1" ht="39.950000000000003" customHeight="1" x14ac:dyDescent="0.25">
      <c r="A22" s="308">
        <v>4</v>
      </c>
      <c r="B22" s="610" t="s">
        <v>255</v>
      </c>
      <c r="C22" s="610"/>
      <c r="D22" s="610"/>
      <c r="E22" s="610"/>
    </row>
    <row r="23" spans="1:16" s="233" customFormat="1" ht="39.950000000000003" customHeight="1" x14ac:dyDescent="0.25">
      <c r="A23" s="375">
        <v>0</v>
      </c>
      <c r="B23" s="610" t="s">
        <v>256</v>
      </c>
      <c r="C23" s="610"/>
      <c r="D23" s="610"/>
      <c r="E23" s="610"/>
    </row>
    <row r="26" spans="1:16" x14ac:dyDescent="0.25">
      <c r="K26" s="312"/>
    </row>
    <row r="27" spans="1:16" x14ac:dyDescent="0.25">
      <c r="K27" s="313"/>
    </row>
  </sheetData>
  <mergeCells count="10">
    <mergeCell ref="B20:E20"/>
    <mergeCell ref="B21:E21"/>
    <mergeCell ref="B22:E22"/>
    <mergeCell ref="B23:E23"/>
    <mergeCell ref="A1:Q1"/>
    <mergeCell ref="L15:N15"/>
    <mergeCell ref="L16:N16"/>
    <mergeCell ref="L17:N17"/>
    <mergeCell ref="B18:E18"/>
    <mergeCell ref="B19:E19"/>
  </mergeCells>
  <conditionalFormatting sqref="Q12:Q14">
    <cfRule type="iconSet" priority="11">
      <iconSet iconSet="3Symbols" reverse="1">
        <cfvo type="percent" val="0"/>
        <cfvo type="num" val="2" gte="0"/>
        <cfvo type="num" val="5"/>
      </iconSet>
    </cfRule>
  </conditionalFormatting>
  <conditionalFormatting sqref="O15">
    <cfRule type="iconSet" priority="10">
      <iconSet iconSet="3Symbols">
        <cfvo type="percent" val="0"/>
        <cfvo type="num" val="0"/>
        <cfvo type="num" val="0" gte="0"/>
      </iconSet>
    </cfRule>
  </conditionalFormatting>
  <conditionalFormatting sqref="O16">
    <cfRule type="iconSet" priority="4">
      <iconSet iconSet="3Symbols">
        <cfvo type="percent" val="0"/>
        <cfvo type="num" val="0"/>
        <cfvo type="num" val="0" gte="0"/>
      </iconSet>
    </cfRule>
  </conditionalFormatting>
  <conditionalFormatting sqref="O5:O10">
    <cfRule type="iconSet" priority="43">
      <iconSet iconSet="3Symbols">
        <cfvo type="percent" val="0"/>
        <cfvo type="num" val="0"/>
        <cfvo type="num" val="0" gte="0"/>
      </iconSet>
    </cfRule>
  </conditionalFormatting>
  <conditionalFormatting sqref="Q5:Q11">
    <cfRule type="iconSet" priority="45">
      <iconSet iconSet="3Symbols" reverse="1">
        <cfvo type="percent" val="0"/>
        <cfvo type="num" val="2" gte="0"/>
        <cfvo type="num" val="5"/>
      </iconSet>
    </cfRule>
  </conditionalFormatting>
  <pageMargins left="0.7" right="0.7" top="0.75" bottom="0.75" header="0.3" footer="0.3"/>
  <pageSetup paperSize="9" scale="20" orientation="portrait" verticalDpi="300" r:id="rId1"/>
  <extLst>
    <ext xmlns:x14="http://schemas.microsoft.com/office/spreadsheetml/2009/9/main" uri="{78C0D931-6437-407d-A8EE-F0AAD7539E65}">
      <x14:conditionalFormattings>
        <x14:conditionalFormatting xmlns:xm="http://schemas.microsoft.com/office/excel/2006/main">
          <x14:cfRule type="iconSet" priority="8" id="{5B74873B-BBCF-40CF-861D-80C03421562D}">
            <x14:iconSet iconSet="3Symbols" custom="1">
              <x14:cfvo type="percent">
                <xm:f>0</xm:f>
              </x14:cfvo>
              <x14:cfvo type="num">
                <xm:f>0</xm:f>
              </x14:cfvo>
              <x14:cfvo type="num" gte="0">
                <xm:f>0</xm:f>
              </x14:cfvo>
              <x14:cfIcon iconSet="3Symbols" iconId="0"/>
              <x14:cfIcon iconSet="3Symbols" iconId="2"/>
              <x14:cfIcon iconSet="3Symbols" iconId="2"/>
            </x14:iconSet>
          </x14:cfRule>
          <xm:sqref>J5</xm:sqref>
        </x14:conditionalFormatting>
        <x14:conditionalFormatting xmlns:xm="http://schemas.microsoft.com/office/excel/2006/main">
          <x14:cfRule type="iconSet" priority="14" id="{484B313E-75C4-49D9-B699-EDBC1595C8C5}">
            <x14:iconSet iconSet="3Symbols" custom="1">
              <x14:cfvo type="percent">
                <xm:f>0</xm:f>
              </x14:cfvo>
              <x14:cfvo type="num">
                <xm:f>0</xm:f>
              </x14:cfvo>
              <x14:cfvo type="num" gte="0">
                <xm:f>0</xm:f>
              </x14:cfvo>
              <x14:cfIcon iconSet="3Symbols" iconId="0"/>
              <x14:cfIcon iconSet="3Symbols" iconId="2"/>
              <x14:cfIcon iconSet="3Symbols" iconId="0"/>
            </x14:iconSet>
          </x14:cfRule>
          <xm:sqref>K11:M14 K5 M5 K6:M6 L7:M10</xm:sqref>
        </x14:conditionalFormatting>
        <x14:conditionalFormatting xmlns:xm="http://schemas.microsoft.com/office/excel/2006/main">
          <x14:cfRule type="iconSet" priority="15" id="{0B09AD05-5B07-4410-B572-8C5FD3A826D9}">
            <x14:iconSet iconSet="3Symbols" custom="1">
              <x14:cfvo type="percent">
                <xm:f>0</xm:f>
              </x14:cfvo>
              <x14:cfvo type="num">
                <xm:f>0</xm:f>
              </x14:cfvo>
              <x14:cfvo type="num" gte="0">
                <xm:f>0</xm:f>
              </x14:cfvo>
              <x14:cfIcon iconSet="3Symbols" iconId="0"/>
              <x14:cfIcon iconSet="3Symbols" iconId="2"/>
              <x14:cfIcon iconSet="3Symbols" iconId="2"/>
            </x14:iconSet>
          </x14:cfRule>
          <xm:sqref>G9:G10</xm:sqref>
        </x14:conditionalFormatting>
        <x14:conditionalFormatting xmlns:xm="http://schemas.microsoft.com/office/excel/2006/main">
          <x14:cfRule type="iconSet" priority="16" id="{026A6C1B-EE30-4CEC-9773-441310B834F2}">
            <x14:iconSet iconSet="3Symbols" custom="1">
              <x14:cfvo type="percent">
                <xm:f>0</xm:f>
              </x14:cfvo>
              <x14:cfvo type="num">
                <xm:f>0</xm:f>
              </x14:cfvo>
              <x14:cfvo type="num" gte="0">
                <xm:f>0</xm:f>
              </x14:cfvo>
              <x14:cfIcon iconSet="3Symbols" iconId="0"/>
              <x14:cfIcon iconSet="3Symbols" iconId="2"/>
              <x14:cfIcon iconSet="3Symbols" iconId="2"/>
            </x14:iconSet>
          </x14:cfRule>
          <xm:sqref>K7:K10</xm:sqref>
        </x14:conditionalFormatting>
        <x14:conditionalFormatting xmlns:xm="http://schemas.microsoft.com/office/excel/2006/main">
          <x14:cfRule type="iconSet" priority="5" id="{E4455EC8-7850-4B39-80B5-3B23A1BB5036}">
            <x14:iconSet iconSet="3Symbols" custom="1">
              <x14:cfvo type="percent">
                <xm:f>0</xm:f>
              </x14:cfvo>
              <x14:cfvo type="num">
                <xm:f>0</xm:f>
              </x14:cfvo>
              <x14:cfvo type="num" gte="0">
                <xm:f>0</xm:f>
              </x14:cfvo>
              <x14:cfIcon iconSet="3Symbols" iconId="0"/>
              <x14:cfIcon iconSet="3Symbols" iconId="2"/>
              <x14:cfIcon iconSet="3Symbols" iconId="2"/>
            </x14:iconSet>
          </x14:cfRule>
          <xm:sqref>G5</xm:sqref>
        </x14:conditionalFormatting>
        <x14:conditionalFormatting xmlns:xm="http://schemas.microsoft.com/office/excel/2006/main">
          <x14:cfRule type="iconSet" priority="2" id="{950E5554-99AE-4D7C-96BE-07BA6312F7DF}">
            <x14:iconSet iconSet="3Symbols" custom="1">
              <x14:cfvo type="percent">
                <xm:f>0</xm:f>
              </x14:cfvo>
              <x14:cfvo type="num">
                <xm:f>0</xm:f>
              </x14:cfvo>
              <x14:cfvo type="num" gte="0">
                <xm:f>0</xm:f>
              </x14:cfvo>
              <x14:cfIcon iconSet="3Symbols" iconId="0"/>
              <x14:cfIcon iconSet="3Symbols" iconId="2"/>
              <x14:cfIcon iconSet="3Symbols" iconId="2"/>
            </x14:iconSet>
          </x14:cfRule>
          <xm:sqref>J9</xm:sqref>
        </x14:conditionalFormatting>
        <x14:conditionalFormatting xmlns:xm="http://schemas.microsoft.com/office/excel/2006/main">
          <x14:cfRule type="iconSet" priority="1" id="{23E1D113-B5C7-4470-B48D-B829199A5D87}">
            <x14:iconSet iconSet="3Symbols" custom="1">
              <x14:cfvo type="percent">
                <xm:f>0</xm:f>
              </x14:cfvo>
              <x14:cfvo type="num">
                <xm:f>0</xm:f>
              </x14:cfvo>
              <x14:cfvo type="num" gte="0">
                <xm:f>0</xm:f>
              </x14:cfvo>
              <x14:cfIcon iconSet="3Symbols" iconId="0"/>
              <x14:cfIcon iconSet="3Symbols" iconId="2"/>
              <x14:cfIcon iconSet="3Symbols" iconId="2"/>
            </x14:iconSet>
          </x14:cfRule>
          <xm:sqref>G6:J8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'D:\1. Jamshid-18.09.2024\6. Metodologiyalar yozish\Yangi\[“Check List”.xlsx]Справочник'!#REF!</xm:f>
          </x14:formula1>
          <xm:sqref>E7:E10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view="pageBreakPreview" zoomScale="85" zoomScaleNormal="70" zoomScaleSheetLayoutView="85" workbookViewId="0">
      <selection activeCell="F23" sqref="F23"/>
    </sheetView>
  </sheetViews>
  <sheetFormatPr defaultColWidth="9.140625" defaultRowHeight="16.5" x14ac:dyDescent="0.25"/>
  <cols>
    <col min="1" max="1" width="28.5703125" style="212" customWidth="1"/>
    <col min="2" max="2" width="31.5703125" style="212" bestFit="1" customWidth="1"/>
    <col min="3" max="3" width="19.7109375" style="212" customWidth="1"/>
    <col min="4" max="4" width="38.7109375" style="212" bestFit="1" customWidth="1"/>
    <col min="5" max="5" width="27.28515625" style="212" customWidth="1"/>
    <col min="6" max="6" width="29.85546875" style="212" customWidth="1"/>
    <col min="7" max="7" width="28.140625" style="212" customWidth="1"/>
    <col min="8" max="8" width="28.5703125" style="212" bestFit="1" customWidth="1"/>
    <col min="9" max="9" width="7.5703125" style="212" bestFit="1" customWidth="1"/>
    <col min="10" max="10" width="24.28515625" style="212" customWidth="1"/>
    <col min="11" max="11" width="23.140625" style="212" bestFit="1" customWidth="1"/>
    <col min="12" max="12" width="6.42578125" style="212" customWidth="1"/>
    <col min="13" max="16384" width="9.140625" style="212"/>
  </cols>
  <sheetData>
    <row r="1" spans="1:12" x14ac:dyDescent="0.25">
      <c r="A1" s="604" t="s">
        <v>257</v>
      </c>
      <c r="B1" s="604"/>
      <c r="C1" s="604"/>
      <c r="D1" s="604"/>
      <c r="E1" s="604"/>
      <c r="F1" s="604"/>
      <c r="G1" s="604"/>
      <c r="H1" s="604"/>
    </row>
    <row r="2" spans="1:12" x14ac:dyDescent="0.25">
      <c r="A2" s="216"/>
      <c r="B2" s="216"/>
      <c r="C2" s="151"/>
      <c r="D2" s="216"/>
      <c r="E2" s="216"/>
      <c r="F2" s="216"/>
      <c r="G2" s="216"/>
      <c r="H2" s="216"/>
    </row>
    <row r="3" spans="1:12" ht="33" x14ac:dyDescent="0.25">
      <c r="A3" s="281" t="s">
        <v>258</v>
      </c>
      <c r="B3" s="314" t="s">
        <v>259</v>
      </c>
      <c r="C3" s="620" t="s">
        <v>260</v>
      </c>
      <c r="D3" s="621"/>
      <c r="E3" s="281" t="s">
        <v>261</v>
      </c>
      <c r="F3" s="281" t="s">
        <v>262</v>
      </c>
      <c r="G3" s="281" t="s">
        <v>263</v>
      </c>
      <c r="H3" s="281" t="s">
        <v>67</v>
      </c>
      <c r="J3" s="315" t="s">
        <v>236</v>
      </c>
      <c r="K3" s="316">
        <f>+Xulosa!P2</f>
        <v>0</v>
      </c>
      <c r="L3" s="317" t="s">
        <v>237</v>
      </c>
    </row>
    <row r="4" spans="1:12" x14ac:dyDescent="0.25">
      <c r="A4" s="286" t="s">
        <v>371</v>
      </c>
      <c r="B4" s="296" t="s">
        <v>380</v>
      </c>
      <c r="C4" s="290">
        <v>45658</v>
      </c>
      <c r="D4" s="290">
        <v>46022</v>
      </c>
      <c r="E4" s="318" t="s">
        <v>244</v>
      </c>
      <c r="F4" s="301">
        <v>166591000</v>
      </c>
      <c r="G4" s="301">
        <v>170587641.02000001</v>
      </c>
      <c r="H4" s="301">
        <f>IFERROR(G4/((D4-C4)/30),0)</f>
        <v>14059420.963186815</v>
      </c>
      <c r="J4" s="315" t="s">
        <v>238</v>
      </c>
      <c r="K4" s="316"/>
      <c r="L4" s="317" t="s">
        <v>237</v>
      </c>
    </row>
    <row r="5" spans="1:12" x14ac:dyDescent="0.25">
      <c r="A5" s="286" t="s">
        <v>381</v>
      </c>
      <c r="B5" s="296" t="s">
        <v>380</v>
      </c>
      <c r="C5" s="290">
        <v>45678</v>
      </c>
      <c r="D5" s="290">
        <v>46042</v>
      </c>
      <c r="E5" s="318" t="s">
        <v>244</v>
      </c>
      <c r="F5" s="301">
        <v>513641237.69999999</v>
      </c>
      <c r="G5" s="301">
        <v>533752000</v>
      </c>
      <c r="H5" s="301">
        <f>IFERROR(G5/((D5-C5)/30),0)</f>
        <v>43990549.450549453</v>
      </c>
      <c r="J5" s="315" t="s">
        <v>239</v>
      </c>
      <c r="K5" s="316"/>
      <c r="L5" s="317" t="s">
        <v>237</v>
      </c>
    </row>
    <row r="6" spans="1:12" x14ac:dyDescent="0.25">
      <c r="A6" s="286"/>
      <c r="B6" s="296"/>
      <c r="C6" s="290"/>
      <c r="D6" s="290"/>
      <c r="E6" s="318"/>
      <c r="F6" s="301"/>
      <c r="G6" s="301"/>
      <c r="H6" s="301"/>
      <c r="J6" s="319" t="s">
        <v>240</v>
      </c>
      <c r="K6" s="316"/>
      <c r="L6" s="320" t="s">
        <v>237</v>
      </c>
    </row>
    <row r="7" spans="1:12" x14ac:dyDescent="0.25">
      <c r="A7" s="286"/>
      <c r="B7" s="296"/>
      <c r="C7" s="290"/>
      <c r="D7" s="290"/>
      <c r="E7" s="318"/>
      <c r="F7" s="301"/>
      <c r="G7" s="301"/>
      <c r="H7" s="301"/>
      <c r="J7" s="321"/>
      <c r="K7" s="322"/>
      <c r="L7" s="323"/>
    </row>
    <row r="8" spans="1:12" x14ac:dyDescent="0.25">
      <c r="A8" s="286"/>
      <c r="B8" s="296"/>
      <c r="C8" s="290"/>
      <c r="D8" s="290"/>
      <c r="E8" s="318"/>
      <c r="F8" s="301"/>
      <c r="G8" s="301"/>
      <c r="H8" s="292"/>
      <c r="J8" s="321"/>
      <c r="K8" s="322"/>
      <c r="L8" s="323"/>
    </row>
    <row r="9" spans="1:12" x14ac:dyDescent="0.25">
      <c r="A9" s="301" t="s">
        <v>242</v>
      </c>
      <c r="B9" s="301"/>
      <c r="C9" s="324"/>
      <c r="D9" s="324"/>
      <c r="E9" s="318" t="s">
        <v>244</v>
      </c>
      <c r="F9" s="301">
        <f>SUMIF(E4:E8,E9,F4:F8)</f>
        <v>680232237.70000005</v>
      </c>
      <c r="G9" s="301">
        <f>SUMIF(E4:E8,E9,G4:G8)</f>
        <v>704339641.01999998</v>
      </c>
      <c r="H9" s="301">
        <f>SUM(H4:H8)</f>
        <v>58049970.413736269</v>
      </c>
    </row>
    <row r="10" spans="1:12" x14ac:dyDescent="0.25">
      <c r="A10" s="301" t="s">
        <v>245</v>
      </c>
      <c r="B10" s="301"/>
      <c r="C10" s="324"/>
      <c r="D10" s="324"/>
      <c r="E10" s="318" t="s">
        <v>0</v>
      </c>
      <c r="F10" s="301">
        <f>SUMIF(E4:E8,E10,F4:F8)</f>
        <v>0</v>
      </c>
      <c r="G10" s="301">
        <f>SUMIF(E4:E8,E10,G4:G8)</f>
        <v>0</v>
      </c>
      <c r="H10" s="301">
        <f>SUMIF(E4:E8,E10,H4:H8)</f>
        <v>0</v>
      </c>
      <c r="K10" s="259"/>
    </row>
    <row r="11" spans="1:12" x14ac:dyDescent="0.25">
      <c r="A11" s="301" t="s">
        <v>246</v>
      </c>
      <c r="B11" s="301"/>
      <c r="C11" s="324"/>
      <c r="D11" s="324"/>
      <c r="E11" s="318" t="s">
        <v>247</v>
      </c>
      <c r="F11" s="301">
        <f>SUMIF(E4:E8,E11,F4:F8)</f>
        <v>0</v>
      </c>
      <c r="G11" s="301">
        <f>SUMIF(E4:E8,E11,G4:G8)</f>
        <v>0</v>
      </c>
      <c r="H11" s="301">
        <f>SUMIF(E4:E8,E11,H4:H8)</f>
        <v>0</v>
      </c>
      <c r="K11" s="259"/>
    </row>
    <row r="12" spans="1:12" x14ac:dyDescent="0.25">
      <c r="A12" s="301" t="s">
        <v>264</v>
      </c>
      <c r="B12" s="301"/>
      <c r="C12" s="324"/>
      <c r="D12" s="324"/>
      <c r="E12" s="318" t="s">
        <v>265</v>
      </c>
      <c r="F12" s="301">
        <f>SUMIF(E4:E8,E12,F4:F8)</f>
        <v>0</v>
      </c>
      <c r="G12" s="301">
        <f>SUMIF(E4:E8,E12,G4:G8)</f>
        <v>0</v>
      </c>
      <c r="H12" s="301">
        <f>SUMIF(E4:E8,E12,H4:H8)</f>
        <v>0</v>
      </c>
      <c r="K12" s="258"/>
    </row>
    <row r="13" spans="1:12" x14ac:dyDescent="0.25">
      <c r="A13" s="301" t="s">
        <v>242</v>
      </c>
      <c r="B13" s="301"/>
      <c r="C13" s="324"/>
      <c r="D13" s="324"/>
      <c r="E13" s="318" t="s">
        <v>244</v>
      </c>
      <c r="F13" s="301">
        <f>F9+(F10*K3)+(F11*K4)+(F12*K5)</f>
        <v>680232237.70000005</v>
      </c>
      <c r="G13" s="301">
        <f>G9+(G10*K3)+(G11*K4)+(G12*K5)</f>
        <v>704339641.01999998</v>
      </c>
      <c r="H13" s="325">
        <f>H9+(H10*K3)+(H11*K4)+(H12*K5)</f>
        <v>58049970.413736269</v>
      </c>
      <c r="K13" s="258"/>
    </row>
    <row r="14" spans="1:12" x14ac:dyDescent="0.25">
      <c r="K14" s="258"/>
    </row>
    <row r="15" spans="1:12" x14ac:dyDescent="0.25">
      <c r="K15" s="259"/>
    </row>
    <row r="16" spans="1:12" x14ac:dyDescent="0.25">
      <c r="C16" s="622" t="s">
        <v>66</v>
      </c>
      <c r="D16" s="623"/>
      <c r="E16" s="623"/>
      <c r="F16" s="624"/>
      <c r="H16" s="258"/>
    </row>
    <row r="17" spans="2:10" x14ac:dyDescent="0.25">
      <c r="C17" s="625" t="s">
        <v>266</v>
      </c>
      <c r="D17" s="626" t="s">
        <v>267</v>
      </c>
      <c r="E17" s="626" t="s">
        <v>268</v>
      </c>
      <c r="F17" s="626" t="s">
        <v>269</v>
      </c>
      <c r="H17" s="288"/>
    </row>
    <row r="18" spans="2:10" x14ac:dyDescent="0.25">
      <c r="C18" s="625"/>
      <c r="D18" s="626"/>
      <c r="E18" s="626"/>
      <c r="F18" s="626"/>
    </row>
    <row r="19" spans="2:10" ht="18.75" x14ac:dyDescent="0.3">
      <c r="C19" s="326"/>
      <c r="D19" s="327">
        <f>+H13</f>
        <v>58049970.413736269</v>
      </c>
      <c r="E19" s="328">
        <f>+'4. Кредит тарихи'!O17</f>
        <v>139929680.37</v>
      </c>
      <c r="F19" s="329">
        <f>E19/D19</f>
        <v>2.4105039050440009</v>
      </c>
      <c r="H19" s="347"/>
      <c r="I19" s="348"/>
      <c r="J19" s="349"/>
    </row>
    <row r="20" spans="2:10" ht="18.75" x14ac:dyDescent="0.3">
      <c r="F20" s="445"/>
      <c r="H20" s="347"/>
      <c r="I20" s="348"/>
      <c r="J20" s="349"/>
    </row>
    <row r="21" spans="2:10" x14ac:dyDescent="0.25">
      <c r="D21" s="258"/>
    </row>
    <row r="22" spans="2:10" ht="20.25" customHeight="1" x14ac:dyDescent="0.25">
      <c r="B22" s="330" t="s">
        <v>144</v>
      </c>
      <c r="C22" s="330" t="s">
        <v>145</v>
      </c>
      <c r="D22" s="330" t="s">
        <v>203</v>
      </c>
      <c r="G22" s="377"/>
      <c r="H22" s="377"/>
    </row>
    <row r="23" spans="2:10" ht="21" customHeight="1" x14ac:dyDescent="0.25">
      <c r="B23" s="499">
        <v>10</v>
      </c>
      <c r="C23" s="500" t="s">
        <v>270</v>
      </c>
      <c r="D23" s="500" t="s">
        <v>271</v>
      </c>
      <c r="G23" s="377"/>
      <c r="H23" s="377"/>
    </row>
    <row r="24" spans="2:10" ht="27" customHeight="1" x14ac:dyDescent="0.25">
      <c r="B24" s="485">
        <v>8</v>
      </c>
      <c r="C24" s="453" t="s">
        <v>272</v>
      </c>
      <c r="D24" s="453" t="s">
        <v>273</v>
      </c>
      <c r="G24" s="342"/>
      <c r="H24" s="377"/>
    </row>
    <row r="25" spans="2:10" x14ac:dyDescent="0.25">
      <c r="B25" s="499">
        <v>5</v>
      </c>
      <c r="C25" s="500" t="s">
        <v>274</v>
      </c>
      <c r="D25" s="500" t="s">
        <v>275</v>
      </c>
    </row>
    <row r="26" spans="2:10" x14ac:dyDescent="0.25">
      <c r="B26" s="331">
        <v>3</v>
      </c>
      <c r="C26" s="350" t="s">
        <v>276</v>
      </c>
      <c r="D26" s="350" t="s">
        <v>277</v>
      </c>
      <c r="E26" s="519">
        <f>F19</f>
        <v>2.4105039050440009</v>
      </c>
    </row>
    <row r="27" spans="2:10" x14ac:dyDescent="0.25">
      <c r="E27" s="280"/>
    </row>
    <row r="32" spans="2:10" x14ac:dyDescent="0.25">
      <c r="E32" s="332"/>
    </row>
  </sheetData>
  <mergeCells count="7">
    <mergeCell ref="A1:H1"/>
    <mergeCell ref="C3:D3"/>
    <mergeCell ref="C16:F16"/>
    <mergeCell ref="C17:C18"/>
    <mergeCell ref="D17:D18"/>
    <mergeCell ref="E17:E18"/>
    <mergeCell ref="F17:F18"/>
  </mergeCells>
  <conditionalFormatting sqref="F9:H13">
    <cfRule type="iconSet" priority="16">
      <iconSet iconSet="3Symbols">
        <cfvo type="percent" val="0"/>
        <cfvo type="num" val="0"/>
        <cfvo type="num" val="0" gte="0"/>
      </iconSet>
    </cfRule>
  </conditionalFormatting>
  <conditionalFormatting sqref="H8">
    <cfRule type="iconSet" priority="17">
      <iconSet iconSet="3Symbols">
        <cfvo type="percent" val="0"/>
        <cfvo type="num" val="0"/>
        <cfvo type="num" val="0" gte="0"/>
      </iconSet>
    </cfRule>
  </conditionalFormatting>
  <conditionalFormatting sqref="F4:G5">
    <cfRule type="iconSet" priority="1">
      <iconSet iconSet="3Symbols">
        <cfvo type="percent" val="0"/>
        <cfvo type="num" val="0"/>
        <cfvo type="num" val="0" gte="0"/>
      </iconSet>
    </cfRule>
  </conditionalFormatting>
  <conditionalFormatting sqref="F8">
    <cfRule type="iconSet" priority="67">
      <iconSet iconSet="3Symbols">
        <cfvo type="percent" val="0"/>
        <cfvo type="num" val="0"/>
        <cfvo type="num" val="0" gte="0"/>
      </iconSet>
    </cfRule>
  </conditionalFormatting>
  <conditionalFormatting sqref="G8">
    <cfRule type="iconSet" priority="68">
      <iconSet iconSet="3Symbols">
        <cfvo type="percent" val="0"/>
        <cfvo type="num" val="0"/>
        <cfvo type="num" val="0" gte="0"/>
      </iconSet>
    </cfRule>
  </conditionalFormatting>
  <conditionalFormatting sqref="F6:F7">
    <cfRule type="iconSet" priority="69">
      <iconSet iconSet="3Symbols">
        <cfvo type="percent" val="0"/>
        <cfvo type="num" val="0"/>
        <cfvo type="num" val="0" gte="0"/>
      </iconSet>
    </cfRule>
  </conditionalFormatting>
  <conditionalFormatting sqref="G6:G7">
    <cfRule type="iconSet" priority="70">
      <iconSet iconSet="3Symbols">
        <cfvo type="percent" val="0"/>
        <cfvo type="num" val="0"/>
        <cfvo type="num" val="0" gte="0"/>
      </iconSet>
    </cfRule>
  </conditionalFormatting>
  <conditionalFormatting sqref="H4:H7">
    <cfRule type="iconSet" priority="71">
      <iconSet iconSet="3Symbols">
        <cfvo type="percent" val="0"/>
        <cfvo type="num" val="0"/>
        <cfvo type="num" val="0" gte="0"/>
      </iconSet>
    </cfRule>
  </conditionalFormatting>
  <pageMargins left="0.7" right="0.7" top="0.75" bottom="0.75" header="0.3" footer="0.3"/>
  <pageSetup paperSize="9" scale="25" orientation="portrait"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P146"/>
  <sheetViews>
    <sheetView topLeftCell="G45" zoomScale="85" zoomScaleNormal="85" workbookViewId="0">
      <selection activeCell="J65" sqref="J65"/>
    </sheetView>
  </sheetViews>
  <sheetFormatPr defaultColWidth="13.7109375" defaultRowHeight="12.75" x14ac:dyDescent="0.25"/>
  <cols>
    <col min="1" max="1" width="13.7109375" style="378" customWidth="1"/>
    <col min="2" max="2" width="44.42578125" style="378" customWidth="1"/>
    <col min="3" max="3" width="19.42578125" style="378" bestFit="1" customWidth="1"/>
    <col min="4" max="6" width="13.7109375" style="378"/>
    <col min="7" max="7" width="49.42578125" style="378" customWidth="1"/>
    <col min="8" max="8" width="16.28515625" style="378" customWidth="1"/>
    <col min="9" max="9" width="14.7109375" style="378" customWidth="1"/>
    <col min="10" max="10" width="16.42578125" style="378" customWidth="1"/>
    <col min="11" max="12" width="14.28515625" style="378" bestFit="1" customWidth="1"/>
    <col min="13" max="13" width="18.28515625" style="378" customWidth="1"/>
    <col min="14" max="16384" width="13.7109375" style="378"/>
  </cols>
  <sheetData>
    <row r="1" spans="1:14" ht="27.75" customHeight="1" x14ac:dyDescent="0.25">
      <c r="A1" s="627" t="s">
        <v>312</v>
      </c>
      <c r="B1" s="627"/>
      <c r="C1" s="627"/>
      <c r="D1" s="627"/>
      <c r="E1" s="627"/>
      <c r="F1" s="627"/>
      <c r="G1" s="627"/>
      <c r="H1" s="627"/>
      <c r="I1" s="627"/>
      <c r="J1" s="627"/>
      <c r="K1" s="627"/>
      <c r="L1" s="378" t="s">
        <v>244</v>
      </c>
      <c r="M1" s="378" t="s">
        <v>0</v>
      </c>
      <c r="N1" s="378" t="s">
        <v>247</v>
      </c>
    </row>
    <row r="2" spans="1:14" ht="27.75" customHeight="1" x14ac:dyDescent="0.25">
      <c r="A2" s="469" t="s">
        <v>313</v>
      </c>
      <c r="B2" s="473">
        <f>Xulosa!L4</f>
        <v>4900000000</v>
      </c>
      <c r="C2" s="474" t="s">
        <v>244</v>
      </c>
      <c r="D2" s="469" t="s">
        <v>314</v>
      </c>
      <c r="E2" s="475">
        <f>Xulosa!L6</f>
        <v>84</v>
      </c>
      <c r="F2" s="469" t="s">
        <v>368</v>
      </c>
      <c r="G2" s="476">
        <v>24</v>
      </c>
      <c r="H2" s="469" t="s">
        <v>315</v>
      </c>
      <c r="I2" s="379">
        <f>+Xulosa!P2</f>
        <v>0</v>
      </c>
      <c r="J2" s="477">
        <f>+IF(C2="UZS",B2,I2*B2)/1000</f>
        <v>4900000</v>
      </c>
      <c r="K2" s="381">
        <f>Xulosa!L8</f>
        <v>0.14000000000000001</v>
      </c>
    </row>
    <row r="3" spans="1:14" ht="25.5" customHeight="1" x14ac:dyDescent="0.25">
      <c r="A3" s="628" t="s">
        <v>165</v>
      </c>
      <c r="B3" s="628" t="s">
        <v>316</v>
      </c>
      <c r="C3" s="630" t="s">
        <v>373</v>
      </c>
      <c r="D3" s="631"/>
      <c r="E3" s="632"/>
      <c r="F3" s="630" t="s">
        <v>317</v>
      </c>
      <c r="G3" s="631"/>
      <c r="H3" s="632"/>
      <c r="I3" s="630" t="s">
        <v>318</v>
      </c>
      <c r="J3" s="631"/>
      <c r="K3" s="632"/>
    </row>
    <row r="4" spans="1:14" x14ac:dyDescent="0.25">
      <c r="A4" s="629"/>
      <c r="B4" s="629"/>
      <c r="C4" s="452" t="s">
        <v>248</v>
      </c>
      <c r="D4" s="452" t="s">
        <v>319</v>
      </c>
      <c r="E4" s="452" t="s">
        <v>320</v>
      </c>
      <c r="F4" s="452" t="s">
        <v>248</v>
      </c>
      <c r="G4" s="452" t="s">
        <v>319</v>
      </c>
      <c r="H4" s="452" t="s">
        <v>320</v>
      </c>
      <c r="I4" s="452" t="s">
        <v>248</v>
      </c>
      <c r="J4" s="452" t="s">
        <v>319</v>
      </c>
      <c r="K4" s="452" t="s">
        <v>320</v>
      </c>
    </row>
    <row r="5" spans="1:14" ht="25.5" x14ac:dyDescent="0.25">
      <c r="A5" s="382">
        <v>1</v>
      </c>
      <c r="B5" s="383" t="s">
        <v>321</v>
      </c>
      <c r="C5" s="384">
        <f t="shared" ref="C5:H5" si="0">+H32</f>
        <v>0.30763613575234988</v>
      </c>
      <c r="D5" s="384">
        <f t="shared" si="0"/>
        <v>0.20981303389505937</v>
      </c>
      <c r="E5" s="384">
        <f t="shared" si="0"/>
        <v>0.47704988564897416</v>
      </c>
      <c r="F5" s="385">
        <f t="shared" si="0"/>
        <v>0.30751383414499156</v>
      </c>
      <c r="G5" s="385">
        <f t="shared" si="0"/>
        <v>0.20968148860917202</v>
      </c>
      <c r="H5" s="385">
        <f t="shared" si="0"/>
        <v>0.47704988564897416</v>
      </c>
      <c r="I5" s="385">
        <f t="shared" ref="I5:K7" si="1">+F5-C5</f>
        <v>-1.2230160735832163E-4</v>
      </c>
      <c r="J5" s="385">
        <f t="shared" si="1"/>
        <v>-1.3154528588735226E-4</v>
      </c>
      <c r="K5" s="385">
        <f t="shared" si="1"/>
        <v>0</v>
      </c>
    </row>
    <row r="6" spans="1:14" ht="12.75" customHeight="1" x14ac:dyDescent="0.25">
      <c r="A6" s="382">
        <v>2</v>
      </c>
      <c r="B6" s="383" t="s">
        <v>322</v>
      </c>
      <c r="C6" s="384">
        <f t="shared" ref="C6:H6" si="2">+H36</f>
        <v>2.3192898327438054</v>
      </c>
      <c r="D6" s="384">
        <f t="shared" si="2"/>
        <v>1.1756690240067305</v>
      </c>
      <c r="E6" s="384">
        <f t="shared" si="2"/>
        <v>8.9521131830222451</v>
      </c>
      <c r="F6" s="385">
        <f t="shared" si="2"/>
        <v>2.3190001152552706</v>
      </c>
      <c r="G6" s="385">
        <f t="shared" si="2"/>
        <v>1.1754968458570092</v>
      </c>
      <c r="H6" s="385">
        <f t="shared" si="2"/>
        <v>8.9521131830222451</v>
      </c>
      <c r="I6" s="385">
        <f t="shared" si="1"/>
        <v>-2.8971748853479085E-4</v>
      </c>
      <c r="J6" s="385">
        <f t="shared" si="1"/>
        <v>-1.7217814972125822E-4</v>
      </c>
      <c r="K6" s="385">
        <f t="shared" si="1"/>
        <v>0</v>
      </c>
      <c r="M6" s="386"/>
    </row>
    <row r="7" spans="1:14" ht="12.75" customHeight="1" x14ac:dyDescent="0.25">
      <c r="A7" s="382">
        <v>3</v>
      </c>
      <c r="B7" s="383" t="s">
        <v>323</v>
      </c>
      <c r="C7" s="384">
        <f t="shared" ref="C7:H7" si="3">+H42</f>
        <v>1.1265344664856636</v>
      </c>
      <c r="D7" s="384">
        <f t="shared" si="3"/>
        <v>1.0896292558387402</v>
      </c>
      <c r="E7" s="384">
        <f t="shared" si="3"/>
        <v>1.2854454324748583</v>
      </c>
      <c r="F7" s="385">
        <f t="shared" si="3"/>
        <v>1.1302846382230307</v>
      </c>
      <c r="G7" s="385">
        <f t="shared" si="3"/>
        <v>1.0960574903953528</v>
      </c>
      <c r="H7" s="385">
        <f t="shared" si="3"/>
        <v>1.2784470830686978</v>
      </c>
      <c r="I7" s="385">
        <f t="shared" si="1"/>
        <v>3.7501717373671362E-3</v>
      </c>
      <c r="J7" s="385">
        <f t="shared" si="1"/>
        <v>6.4282345566126775E-3</v>
      </c>
      <c r="K7" s="385">
        <f t="shared" si="1"/>
        <v>-6.9983494061605089E-3</v>
      </c>
    </row>
    <row r="8" spans="1:14" ht="12.75" customHeight="1" x14ac:dyDescent="0.25">
      <c r="A8" s="383">
        <v>4</v>
      </c>
      <c r="B8" s="383" t="s">
        <v>324</v>
      </c>
      <c r="C8" s="635">
        <f>+H63</f>
        <v>0.18294484891764201</v>
      </c>
      <c r="D8" s="636"/>
      <c r="E8" s="637"/>
      <c r="F8" s="638">
        <f>+I63</f>
        <v>0.18290081406539241</v>
      </c>
      <c r="G8" s="639"/>
      <c r="H8" s="640"/>
      <c r="I8" s="641">
        <f>+F8-C8</f>
        <v>-4.4034852249602574E-5</v>
      </c>
      <c r="J8" s="642"/>
      <c r="K8" s="643"/>
    </row>
    <row r="9" spans="1:14" ht="12" customHeight="1" x14ac:dyDescent="0.25">
      <c r="F9" s="387"/>
      <c r="G9" s="387"/>
      <c r="H9" s="387"/>
      <c r="I9" s="387"/>
      <c r="J9" s="387"/>
      <c r="K9" s="387"/>
    </row>
    <row r="10" spans="1:14" ht="12.75" hidden="1" customHeight="1" x14ac:dyDescent="0.25">
      <c r="B10" s="388">
        <v>15000000000</v>
      </c>
    </row>
    <row r="11" spans="1:14" hidden="1" x14ac:dyDescent="0.25">
      <c r="B11" s="378">
        <v>1</v>
      </c>
      <c r="E11" s="389">
        <v>45093</v>
      </c>
    </row>
    <row r="12" spans="1:14" hidden="1" x14ac:dyDescent="0.25">
      <c r="B12" s="390">
        <f>+B11*B10/1000</f>
        <v>15000000</v>
      </c>
      <c r="C12" s="389">
        <v>45448</v>
      </c>
      <c r="D12" s="388">
        <f t="shared" ref="D12:D23" si="4">+$B$12/12</f>
        <v>1250000</v>
      </c>
      <c r="E12" s="388">
        <f t="shared" ref="E12:E23" si="5">+C12-$E$11</f>
        <v>355</v>
      </c>
      <c r="F12" s="378" t="str">
        <f t="shared" ref="F12:F23" si="6">+IF(E12&lt;1,"Муддатсиз",IF(E12&lt;8,"1-7 кун",IF(E12&lt;31,"8-30 кун",IF(E12&lt;91,"31-90 кун",IF(E12&lt;181,"91-180 кун",IF(E12&lt;366,"181-365 кун",IF(E12&lt;731,"366-730 кун",IF(E12&gt;=731,"2 йилдан кўп"))))))))</f>
        <v>181-365 кун</v>
      </c>
      <c r="G12" s="378" t="s">
        <v>325</v>
      </c>
      <c r="H12" s="388">
        <f>+SUMIF($F$12:$F$26,G12,$D$12:$D$26)</f>
        <v>1250000</v>
      </c>
    </row>
    <row r="13" spans="1:14" hidden="1" x14ac:dyDescent="0.25">
      <c r="C13" s="389">
        <v>45478</v>
      </c>
      <c r="D13" s="388">
        <f t="shared" si="4"/>
        <v>1250000</v>
      </c>
      <c r="E13" s="388">
        <f t="shared" si="5"/>
        <v>385</v>
      </c>
      <c r="F13" s="378" t="str">
        <f t="shared" si="6"/>
        <v>366-730 кун</v>
      </c>
      <c r="G13" s="378" t="s">
        <v>326</v>
      </c>
      <c r="H13" s="388">
        <f>+SUMIF($F$12:$F$26,G13,$D$12:$D$26)</f>
        <v>13750000</v>
      </c>
    </row>
    <row r="14" spans="1:14" hidden="1" x14ac:dyDescent="0.25">
      <c r="B14" s="388">
        <v>17991427927</v>
      </c>
      <c r="C14" s="389">
        <v>45509</v>
      </c>
      <c r="D14" s="388">
        <f t="shared" si="4"/>
        <v>1250000</v>
      </c>
      <c r="E14" s="388">
        <f t="shared" si="5"/>
        <v>416</v>
      </c>
      <c r="F14" s="378" t="str">
        <f t="shared" si="6"/>
        <v>366-730 кун</v>
      </c>
      <c r="G14" s="378" t="s">
        <v>327</v>
      </c>
      <c r="H14" s="388">
        <f>+SUMIF($F$12:$F$26,G14,$D$12:$D$26)</f>
        <v>0</v>
      </c>
    </row>
    <row r="15" spans="1:14" hidden="1" x14ac:dyDescent="0.25">
      <c r="B15" s="388">
        <v>17991427927</v>
      </c>
      <c r="C15" s="389">
        <v>45540</v>
      </c>
      <c r="D15" s="388">
        <f t="shared" si="4"/>
        <v>1250000</v>
      </c>
      <c r="E15" s="388">
        <f t="shared" si="5"/>
        <v>447</v>
      </c>
      <c r="F15" s="378" t="str">
        <f t="shared" si="6"/>
        <v>366-730 кун</v>
      </c>
    </row>
    <row r="16" spans="1:14" hidden="1" x14ac:dyDescent="0.25">
      <c r="B16" s="388">
        <f>+B14-B15</f>
        <v>0</v>
      </c>
      <c r="C16" s="389">
        <v>45570</v>
      </c>
      <c r="D16" s="388">
        <f t="shared" si="4"/>
        <v>1250000</v>
      </c>
      <c r="E16" s="388">
        <f t="shared" si="5"/>
        <v>477</v>
      </c>
      <c r="F16" s="378" t="str">
        <f t="shared" si="6"/>
        <v>366-730 кун</v>
      </c>
    </row>
    <row r="17" spans="1:16" hidden="1" x14ac:dyDescent="0.25">
      <c r="C17" s="389">
        <v>45601</v>
      </c>
      <c r="D17" s="388">
        <f t="shared" si="4"/>
        <v>1250000</v>
      </c>
      <c r="E17" s="388">
        <f t="shared" si="5"/>
        <v>508</v>
      </c>
      <c r="F17" s="378" t="str">
        <f t="shared" si="6"/>
        <v>366-730 кун</v>
      </c>
    </row>
    <row r="18" spans="1:16" hidden="1" x14ac:dyDescent="0.25">
      <c r="C18" s="389">
        <v>45631</v>
      </c>
      <c r="D18" s="388">
        <f t="shared" si="4"/>
        <v>1250000</v>
      </c>
      <c r="E18" s="388">
        <f t="shared" si="5"/>
        <v>538</v>
      </c>
      <c r="F18" s="378" t="str">
        <f t="shared" si="6"/>
        <v>366-730 кун</v>
      </c>
    </row>
    <row r="19" spans="1:16" hidden="1" x14ac:dyDescent="0.25">
      <c r="C19" s="389">
        <v>45662</v>
      </c>
      <c r="D19" s="388">
        <f t="shared" si="4"/>
        <v>1250000</v>
      </c>
      <c r="E19" s="388">
        <f t="shared" si="5"/>
        <v>569</v>
      </c>
      <c r="F19" s="378" t="str">
        <f t="shared" si="6"/>
        <v>366-730 кун</v>
      </c>
    </row>
    <row r="20" spans="1:16" hidden="1" x14ac:dyDescent="0.25">
      <c r="C20" s="389">
        <v>45693</v>
      </c>
      <c r="D20" s="388">
        <f t="shared" si="4"/>
        <v>1250000</v>
      </c>
      <c r="E20" s="388">
        <f t="shared" si="5"/>
        <v>600</v>
      </c>
      <c r="F20" s="378" t="str">
        <f t="shared" si="6"/>
        <v>366-730 кун</v>
      </c>
    </row>
    <row r="21" spans="1:16" hidden="1" x14ac:dyDescent="0.25">
      <c r="C21" s="389">
        <v>45721</v>
      </c>
      <c r="D21" s="388">
        <f t="shared" si="4"/>
        <v>1250000</v>
      </c>
      <c r="E21" s="388">
        <f t="shared" si="5"/>
        <v>628</v>
      </c>
      <c r="F21" s="378" t="str">
        <f t="shared" si="6"/>
        <v>366-730 кун</v>
      </c>
    </row>
    <row r="22" spans="1:16" hidden="1" x14ac:dyDescent="0.25">
      <c r="C22" s="389">
        <v>45752</v>
      </c>
      <c r="D22" s="388">
        <f t="shared" si="4"/>
        <v>1250000</v>
      </c>
      <c r="E22" s="388">
        <f t="shared" si="5"/>
        <v>659</v>
      </c>
      <c r="F22" s="378" t="str">
        <f t="shared" si="6"/>
        <v>366-730 кун</v>
      </c>
    </row>
    <row r="23" spans="1:16" hidden="1" x14ac:dyDescent="0.25">
      <c r="C23" s="389">
        <v>45782</v>
      </c>
      <c r="D23" s="388">
        <f t="shared" si="4"/>
        <v>1250000</v>
      </c>
      <c r="E23" s="388">
        <f t="shared" si="5"/>
        <v>689</v>
      </c>
      <c r="F23" s="378" t="str">
        <f t="shared" si="6"/>
        <v>366-730 кун</v>
      </c>
    </row>
    <row r="24" spans="1:16" x14ac:dyDescent="0.25">
      <c r="C24" s="380">
        <f>+C25-J2</f>
        <v>0</v>
      </c>
      <c r="D24" s="388"/>
      <c r="E24" s="388"/>
    </row>
    <row r="25" spans="1:16" x14ac:dyDescent="0.25">
      <c r="C25" s="391">
        <f>+SUM(C27:C146)</f>
        <v>4899999.9999999991</v>
      </c>
      <c r="D25" s="389"/>
      <c r="E25" s="388"/>
    </row>
    <row r="26" spans="1:16" ht="13.5" thickBot="1" x14ac:dyDescent="0.3">
      <c r="B26" s="392">
        <f>+J2/(E2-G2)</f>
        <v>81666.666666666672</v>
      </c>
      <c r="C26" s="389"/>
      <c r="D26" s="388"/>
      <c r="E26" s="388"/>
    </row>
    <row r="27" spans="1:16" ht="13.5" thickBot="1" x14ac:dyDescent="0.3">
      <c r="A27" s="378">
        <v>1</v>
      </c>
      <c r="B27" s="393">
        <v>46054</v>
      </c>
      <c r="C27" s="392"/>
      <c r="D27" s="388"/>
      <c r="E27" s="388"/>
    </row>
    <row r="28" spans="1:16" ht="13.5" thickBot="1" x14ac:dyDescent="0.3">
      <c r="A28" s="378">
        <v>2</v>
      </c>
      <c r="B28" s="393">
        <v>46082</v>
      </c>
      <c r="C28" s="392"/>
      <c r="D28" s="388"/>
      <c r="E28" s="388"/>
    </row>
    <row r="29" spans="1:16" ht="15.75" customHeight="1" thickBot="1" x14ac:dyDescent="0.3">
      <c r="A29" s="378">
        <v>3</v>
      </c>
      <c r="B29" s="393">
        <v>46113</v>
      </c>
      <c r="C29" s="392"/>
      <c r="H29" s="634" t="s">
        <v>328</v>
      </c>
      <c r="I29" s="634"/>
      <c r="J29" s="634"/>
    </row>
    <row r="30" spans="1:16" ht="13.5" customHeight="1" thickBot="1" x14ac:dyDescent="0.3">
      <c r="A30" s="378">
        <v>4</v>
      </c>
      <c r="B30" s="393">
        <v>46143</v>
      </c>
      <c r="C30" s="392"/>
      <c r="H30" s="633" t="s">
        <v>329</v>
      </c>
      <c r="I30" s="633"/>
      <c r="J30" s="633"/>
      <c r="K30" s="633" t="s">
        <v>330</v>
      </c>
      <c r="L30" s="633"/>
      <c r="M30" s="633"/>
      <c r="N30" s="633" t="s">
        <v>331</v>
      </c>
      <c r="O30" s="633"/>
      <c r="P30" s="633"/>
    </row>
    <row r="31" spans="1:16" ht="26.25" thickBot="1" x14ac:dyDescent="0.3">
      <c r="A31" s="378">
        <v>5</v>
      </c>
      <c r="B31" s="393">
        <v>46174</v>
      </c>
      <c r="C31" s="392"/>
      <c r="E31" s="394" t="s">
        <v>332</v>
      </c>
      <c r="F31" s="394" t="s">
        <v>333</v>
      </c>
      <c r="H31" s="395" t="s">
        <v>334</v>
      </c>
      <c r="I31" s="396" t="s">
        <v>332</v>
      </c>
      <c r="J31" s="397" t="s">
        <v>333</v>
      </c>
      <c r="K31" s="398" t="s">
        <v>334</v>
      </c>
      <c r="L31" s="399" t="s">
        <v>332</v>
      </c>
      <c r="M31" s="399" t="s">
        <v>333</v>
      </c>
      <c r="N31" s="400" t="s">
        <v>334</v>
      </c>
      <c r="O31" s="401" t="s">
        <v>332</v>
      </c>
      <c r="P31" s="402" t="s">
        <v>333</v>
      </c>
    </row>
    <row r="32" spans="1:16" ht="13.5" thickBot="1" x14ac:dyDescent="0.3">
      <c r="A32" s="378">
        <v>6</v>
      </c>
      <c r="B32" s="393">
        <v>46204</v>
      </c>
      <c r="C32" s="392"/>
      <c r="G32" s="394" t="s">
        <v>335</v>
      </c>
      <c r="H32" s="403">
        <f t="shared" ref="H32:M32" si="7">+H33/H34</f>
        <v>0.30763613575234988</v>
      </c>
      <c r="I32" s="404">
        <f t="shared" si="7"/>
        <v>0.20981303389505937</v>
      </c>
      <c r="J32" s="405">
        <f t="shared" si="7"/>
        <v>0.47704988564897416</v>
      </c>
      <c r="K32" s="403">
        <f t="shared" si="7"/>
        <v>0.30751383414499156</v>
      </c>
      <c r="L32" s="404">
        <f t="shared" si="7"/>
        <v>0.20968148860917202</v>
      </c>
      <c r="M32" s="404">
        <f t="shared" si="7"/>
        <v>0.47704988564897416</v>
      </c>
      <c r="N32" s="406">
        <f>+K32-H32</f>
        <v>-1.2230160735832163E-4</v>
      </c>
      <c r="O32" s="407">
        <f>+L32-I32</f>
        <v>-1.3154528588735226E-4</v>
      </c>
      <c r="P32" s="408">
        <f>+M32-J32</f>
        <v>0</v>
      </c>
    </row>
    <row r="33" spans="1:16" ht="13.5" thickBot="1" x14ac:dyDescent="0.3">
      <c r="A33" s="378">
        <v>7</v>
      </c>
      <c r="B33" s="393">
        <v>46235</v>
      </c>
      <c r="C33" s="392"/>
      <c r="E33" s="409">
        <v>0</v>
      </c>
      <c r="F33" s="409">
        <v>0</v>
      </c>
      <c r="G33" s="410" t="s">
        <v>336</v>
      </c>
      <c r="H33" s="411">
        <v>3790233108</v>
      </c>
      <c r="I33" s="412">
        <v>1638752419</v>
      </c>
      <c r="J33" s="413">
        <v>2151480689</v>
      </c>
      <c r="K33" s="411">
        <f>+L33+M33</f>
        <v>3790233108</v>
      </c>
      <c r="L33" s="414">
        <f>+I33+$E33</f>
        <v>1638752419</v>
      </c>
      <c r="M33" s="414">
        <f>+J33+$F33</f>
        <v>2151480689</v>
      </c>
      <c r="N33" s="411">
        <f>+O33+P33</f>
        <v>0</v>
      </c>
      <c r="O33" s="414">
        <f>+L33-I33</f>
        <v>0</v>
      </c>
      <c r="P33" s="415">
        <f>+M33-J33</f>
        <v>0</v>
      </c>
    </row>
    <row r="34" spans="1:16" ht="13.5" thickBot="1" x14ac:dyDescent="0.3">
      <c r="A34" s="378">
        <v>8</v>
      </c>
      <c r="B34" s="393">
        <v>46266</v>
      </c>
      <c r="C34" s="392"/>
      <c r="E34" s="409">
        <f>C25</f>
        <v>4899999.9999999991</v>
      </c>
      <c r="F34" s="409">
        <f>+C193</f>
        <v>0</v>
      </c>
      <c r="G34" s="410" t="s">
        <v>337</v>
      </c>
      <c r="H34" s="411">
        <v>12320506818</v>
      </c>
      <c r="I34" s="412">
        <v>7810536784</v>
      </c>
      <c r="J34" s="413">
        <v>4509970034</v>
      </c>
      <c r="K34" s="411">
        <f>+L34+M34</f>
        <v>12325406818</v>
      </c>
      <c r="L34" s="414">
        <f>+I34+$E34</f>
        <v>7815436784</v>
      </c>
      <c r="M34" s="414">
        <f>+J34+$F34</f>
        <v>4509970034</v>
      </c>
      <c r="N34" s="411">
        <f>+O34+P34</f>
        <v>4900000</v>
      </c>
      <c r="O34" s="414">
        <f>+L34-I34</f>
        <v>4900000</v>
      </c>
      <c r="P34" s="415">
        <f>+M34-J34</f>
        <v>0</v>
      </c>
    </row>
    <row r="35" spans="1:16" ht="13.5" thickBot="1" x14ac:dyDescent="0.3">
      <c r="A35" s="378">
        <v>9</v>
      </c>
      <c r="B35" s="393">
        <v>46296</v>
      </c>
      <c r="C35" s="392"/>
      <c r="E35" s="409"/>
      <c r="F35" s="409"/>
      <c r="G35" s="410"/>
      <c r="H35" s="411"/>
      <c r="I35" s="414"/>
      <c r="J35" s="415"/>
      <c r="K35" s="411"/>
      <c r="L35" s="414"/>
      <c r="M35" s="414"/>
      <c r="N35" s="411"/>
      <c r="O35" s="414"/>
      <c r="P35" s="415"/>
    </row>
    <row r="36" spans="1:16" ht="13.5" thickBot="1" x14ac:dyDescent="0.3">
      <c r="A36" s="378">
        <v>10</v>
      </c>
      <c r="B36" s="393">
        <v>46327</v>
      </c>
      <c r="C36" s="392"/>
      <c r="E36" s="409"/>
      <c r="F36" s="409"/>
      <c r="G36" s="394" t="s">
        <v>338</v>
      </c>
      <c r="H36" s="403">
        <f t="shared" ref="H36:M36" si="8">+H37/H38</f>
        <v>2.3192898327438054</v>
      </c>
      <c r="I36" s="404">
        <f t="shared" si="8"/>
        <v>1.1756690240067305</v>
      </c>
      <c r="J36" s="405">
        <f t="shared" si="8"/>
        <v>8.9521131830222451</v>
      </c>
      <c r="K36" s="403">
        <f t="shared" si="8"/>
        <v>2.3190001152552706</v>
      </c>
      <c r="L36" s="404">
        <f t="shared" si="8"/>
        <v>1.1754968458570092</v>
      </c>
      <c r="M36" s="404">
        <f t="shared" si="8"/>
        <v>8.9521131830222451</v>
      </c>
      <c r="N36" s="416">
        <f>+K36-H36</f>
        <v>-2.8971748853479085E-4</v>
      </c>
      <c r="O36" s="417">
        <f>+L36-I36</f>
        <v>-1.7217814972125822E-4</v>
      </c>
      <c r="P36" s="418">
        <f>+M36-J36</f>
        <v>0</v>
      </c>
    </row>
    <row r="37" spans="1:16" ht="13.5" thickBot="1" x14ac:dyDescent="0.3">
      <c r="A37" s="378">
        <v>11</v>
      </c>
      <c r="B37" s="393">
        <v>46357</v>
      </c>
      <c r="C37" s="392"/>
      <c r="E37" s="409">
        <v>0</v>
      </c>
      <c r="F37" s="409">
        <v>0</v>
      </c>
      <c r="G37" s="410" t="s">
        <v>336</v>
      </c>
      <c r="H37" s="411">
        <v>3790233108</v>
      </c>
      <c r="I37" s="412">
        <v>1638752419</v>
      </c>
      <c r="J37" s="412">
        <v>2151480689</v>
      </c>
      <c r="K37" s="411">
        <f>+L37+M37</f>
        <v>3790233108</v>
      </c>
      <c r="L37" s="414">
        <f>+L33</f>
        <v>1638752419</v>
      </c>
      <c r="M37" s="414">
        <f>+M33</f>
        <v>2151480689</v>
      </c>
      <c r="N37" s="411">
        <f>+O37+P37</f>
        <v>0</v>
      </c>
      <c r="O37" s="414">
        <f t="shared" ref="O37:P40" si="9">+L37-I37</f>
        <v>0</v>
      </c>
      <c r="P37" s="415">
        <f t="shared" si="9"/>
        <v>0</v>
      </c>
    </row>
    <row r="38" spans="1:16" ht="13.5" thickBot="1" x14ac:dyDescent="0.3">
      <c r="A38" s="378">
        <v>12</v>
      </c>
      <c r="B38" s="393">
        <v>46388</v>
      </c>
      <c r="C38" s="392"/>
      <c r="E38" s="409">
        <v>0</v>
      </c>
      <c r="F38" s="409">
        <v>0</v>
      </c>
      <c r="G38" s="410" t="s">
        <v>339</v>
      </c>
      <c r="H38" s="411">
        <v>1634221413.1625001</v>
      </c>
      <c r="I38" s="412">
        <v>1393889254.1500001</v>
      </c>
      <c r="J38" s="412">
        <v>240332159.01250005</v>
      </c>
      <c r="K38" s="411">
        <f>+K39-K40</f>
        <v>1634425579.8291667</v>
      </c>
      <c r="L38" s="414">
        <f>+L39-L40</f>
        <v>1394093420.8166668</v>
      </c>
      <c r="M38" s="414">
        <f>+M39-M40</f>
        <v>240332159.01250005</v>
      </c>
      <c r="N38" s="411">
        <f>+O38+P38</f>
        <v>204166.66666674614</v>
      </c>
      <c r="O38" s="414">
        <f t="shared" si="9"/>
        <v>204166.66666674614</v>
      </c>
      <c r="P38" s="415">
        <f t="shared" si="9"/>
        <v>0</v>
      </c>
    </row>
    <row r="39" spans="1:16" ht="13.5" thickBot="1" x14ac:dyDescent="0.3">
      <c r="A39" s="378">
        <v>13</v>
      </c>
      <c r="B39" s="393">
        <v>46419</v>
      </c>
      <c r="C39" s="414"/>
      <c r="D39" s="419">
        <v>0.05</v>
      </c>
      <c r="E39" s="409">
        <f>C25*D39</f>
        <v>244999.99999999997</v>
      </c>
      <c r="F39" s="409"/>
      <c r="G39" s="410" t="s">
        <v>340</v>
      </c>
      <c r="H39" s="411">
        <v>2848471215.6999998</v>
      </c>
      <c r="I39" s="412">
        <v>1887142579.6500001</v>
      </c>
      <c r="J39" s="413">
        <v>961328636.04999995</v>
      </c>
      <c r="K39" s="411">
        <f>+L39+M39</f>
        <v>2848716215.6999998</v>
      </c>
      <c r="L39" s="414">
        <f>+I39+$E39</f>
        <v>1887387579.6500001</v>
      </c>
      <c r="M39" s="414">
        <f>+J39+$F39</f>
        <v>961328636.04999995</v>
      </c>
      <c r="N39" s="411">
        <f>+O39+P39</f>
        <v>245000</v>
      </c>
      <c r="O39" s="414">
        <f t="shared" si="9"/>
        <v>245000</v>
      </c>
      <c r="P39" s="415">
        <f t="shared" si="9"/>
        <v>0</v>
      </c>
    </row>
    <row r="40" spans="1:16" ht="13.5" thickBot="1" x14ac:dyDescent="0.3">
      <c r="A40" s="378">
        <v>14</v>
      </c>
      <c r="B40" s="393">
        <v>46447</v>
      </c>
      <c r="C40" s="414"/>
      <c r="D40" s="419">
        <v>0.5</v>
      </c>
      <c r="E40" s="409">
        <f>B26*D40</f>
        <v>40833.333333333336</v>
      </c>
      <c r="F40" s="409"/>
      <c r="G40" s="410" t="s">
        <v>341</v>
      </c>
      <c r="H40" s="411">
        <v>1214249802.5374999</v>
      </c>
      <c r="I40" s="412">
        <v>493253325.5</v>
      </c>
      <c r="J40" s="413">
        <v>720996477.0374999</v>
      </c>
      <c r="K40" s="411">
        <f>+L40+M40</f>
        <v>1214290635.8708332</v>
      </c>
      <c r="L40" s="414">
        <f>+I40+$E40</f>
        <v>493294158.83333331</v>
      </c>
      <c r="M40" s="414">
        <f>+J40+$F40</f>
        <v>720996477.0374999</v>
      </c>
      <c r="N40" s="411">
        <f>+O40+P40</f>
        <v>40833.333333313465</v>
      </c>
      <c r="O40" s="414">
        <f t="shared" si="9"/>
        <v>40833.333333313465</v>
      </c>
      <c r="P40" s="415">
        <f t="shared" si="9"/>
        <v>0</v>
      </c>
    </row>
    <row r="41" spans="1:16" ht="13.5" thickBot="1" x14ac:dyDescent="0.3">
      <c r="A41" s="378">
        <v>15</v>
      </c>
      <c r="B41" s="393">
        <v>46478</v>
      </c>
      <c r="C41" s="414"/>
      <c r="H41" s="420"/>
      <c r="I41" s="421"/>
      <c r="J41" s="422"/>
      <c r="K41" s="420"/>
      <c r="L41" s="421"/>
      <c r="M41" s="421"/>
      <c r="N41" s="420"/>
      <c r="O41" s="421"/>
      <c r="P41" s="422"/>
    </row>
    <row r="42" spans="1:16" ht="13.5" thickBot="1" x14ac:dyDescent="0.3">
      <c r="A42" s="378">
        <v>16</v>
      </c>
      <c r="B42" s="393">
        <v>46508</v>
      </c>
      <c r="C42" s="414"/>
      <c r="G42" s="394" t="s">
        <v>342</v>
      </c>
      <c r="H42" s="403">
        <f t="shared" ref="H42:M42" si="10">+H43/H48</f>
        <v>1.1265344664856636</v>
      </c>
      <c r="I42" s="404">
        <f t="shared" si="10"/>
        <v>1.0896292558387402</v>
      </c>
      <c r="J42" s="405">
        <f t="shared" si="10"/>
        <v>1.2854454324748583</v>
      </c>
      <c r="K42" s="403">
        <f t="shared" si="10"/>
        <v>1.1302846382230307</v>
      </c>
      <c r="L42" s="404">
        <f t="shared" si="10"/>
        <v>1.0960574903953528</v>
      </c>
      <c r="M42" s="404">
        <f t="shared" si="10"/>
        <v>1.2784470830686978</v>
      </c>
      <c r="N42" s="416">
        <f>+K42-H42</f>
        <v>3.7501717373671362E-3</v>
      </c>
      <c r="O42" s="417">
        <f>+L42-I42</f>
        <v>6.4282345566126775E-3</v>
      </c>
      <c r="P42" s="418">
        <f>+M42-J42</f>
        <v>-6.9983494061605089E-3</v>
      </c>
    </row>
    <row r="43" spans="1:16" ht="13.5" thickBot="1" x14ac:dyDescent="0.3">
      <c r="A43" s="378">
        <v>17</v>
      </c>
      <c r="B43" s="393">
        <v>46539</v>
      </c>
      <c r="C43" s="414"/>
      <c r="G43" s="394" t="s">
        <v>343</v>
      </c>
      <c r="H43" s="423">
        <v>21507700056.899998</v>
      </c>
      <c r="I43" s="424">
        <v>16882375045.6</v>
      </c>
      <c r="J43" s="425">
        <v>4625325011.3000002</v>
      </c>
      <c r="K43" s="423">
        <f t="shared" ref="K43:P43" si="11">+SUM(K44:K47)</f>
        <v>22109332.407400001</v>
      </c>
      <c r="L43" s="424">
        <f t="shared" si="11"/>
        <v>17416433295.200001</v>
      </c>
      <c r="M43" s="424">
        <f t="shared" si="11"/>
        <v>4692899112.1999998</v>
      </c>
      <c r="N43" s="423">
        <f t="shared" si="11"/>
        <v>4900000</v>
      </c>
      <c r="O43" s="424">
        <f t="shared" si="11"/>
        <v>4900000</v>
      </c>
      <c r="P43" s="425">
        <f t="shared" si="11"/>
        <v>0</v>
      </c>
    </row>
    <row r="44" spans="1:16" ht="13.5" thickBot="1" x14ac:dyDescent="0.3">
      <c r="A44" s="378">
        <v>18</v>
      </c>
      <c r="B44" s="393">
        <v>46569</v>
      </c>
      <c r="C44" s="414"/>
      <c r="E44" s="426">
        <v>0</v>
      </c>
      <c r="F44" s="426">
        <v>0</v>
      </c>
      <c r="G44" s="427" t="s">
        <v>344</v>
      </c>
      <c r="H44" s="411">
        <v>5739210946</v>
      </c>
      <c r="I44" s="412">
        <v>5739210946</v>
      </c>
      <c r="J44" s="413">
        <v>0</v>
      </c>
      <c r="K44" s="411">
        <f>(+L44+M44)/1000</f>
        <v>5739210.9460000005</v>
      </c>
      <c r="L44" s="414">
        <f>+I44+$E44</f>
        <v>5739210946</v>
      </c>
      <c r="M44" s="414">
        <f>+J44+$F44</f>
        <v>0</v>
      </c>
      <c r="N44" s="411">
        <f>+O44+P44</f>
        <v>0</v>
      </c>
      <c r="O44" s="414">
        <f t="shared" ref="O44:P47" si="12">+L44-I44</f>
        <v>0</v>
      </c>
      <c r="P44" s="415">
        <f t="shared" si="12"/>
        <v>0</v>
      </c>
    </row>
    <row r="45" spans="1:16" ht="13.5" thickBot="1" x14ac:dyDescent="0.3">
      <c r="A45" s="378">
        <v>19</v>
      </c>
      <c r="B45" s="393">
        <v>46600</v>
      </c>
      <c r="C45" s="414"/>
      <c r="E45" s="409">
        <f>C25</f>
        <v>4899999.9999999991</v>
      </c>
      <c r="F45" s="409"/>
      <c r="G45" s="427" t="s">
        <v>345</v>
      </c>
      <c r="H45" s="411">
        <v>12669069416</v>
      </c>
      <c r="I45" s="412">
        <v>9329161314</v>
      </c>
      <c r="J45" s="413">
        <v>3339908102</v>
      </c>
      <c r="K45" s="411">
        <f>(+L45+M45)/1000</f>
        <v>12673969.415999999</v>
      </c>
      <c r="L45" s="414">
        <f>+I45+$E45</f>
        <v>9334061314</v>
      </c>
      <c r="M45" s="414">
        <f>+J45+$F45</f>
        <v>3339908102</v>
      </c>
      <c r="N45" s="411">
        <f>+O45+P45</f>
        <v>4900000</v>
      </c>
      <c r="O45" s="414">
        <f t="shared" si="12"/>
        <v>4900000</v>
      </c>
      <c r="P45" s="415">
        <f t="shared" si="12"/>
        <v>0</v>
      </c>
    </row>
    <row r="46" spans="1:16" ht="15.75" customHeight="1" thickBot="1" x14ac:dyDescent="0.3">
      <c r="A46" s="378">
        <v>20</v>
      </c>
      <c r="B46" s="393">
        <v>46631</v>
      </c>
      <c r="C46" s="414"/>
      <c r="E46" s="426">
        <v>0</v>
      </c>
      <c r="F46" s="426">
        <v>0</v>
      </c>
      <c r="G46" s="427" t="s">
        <v>346</v>
      </c>
      <c r="H46" s="411">
        <v>334370178.30000001</v>
      </c>
      <c r="I46" s="412">
        <v>306468604.5</v>
      </c>
      <c r="J46" s="413">
        <v>27901573.800000001</v>
      </c>
      <c r="K46" s="411">
        <f>(+L46+M46)/1000</f>
        <v>334370.17830000003</v>
      </c>
      <c r="L46" s="414">
        <f>+I46+$E46</f>
        <v>306468604.5</v>
      </c>
      <c r="M46" s="414">
        <f>+J46+$F46</f>
        <v>27901573.800000001</v>
      </c>
      <c r="N46" s="411">
        <f>+O46+P46</f>
        <v>0</v>
      </c>
      <c r="O46" s="414">
        <f t="shared" si="12"/>
        <v>0</v>
      </c>
      <c r="P46" s="415">
        <f t="shared" si="12"/>
        <v>0</v>
      </c>
    </row>
    <row r="47" spans="1:16" ht="13.5" customHeight="1" thickBot="1" x14ac:dyDescent="0.3">
      <c r="A47" s="378">
        <v>21</v>
      </c>
      <c r="B47" s="393">
        <v>46661</v>
      </c>
      <c r="C47" s="414"/>
      <c r="E47" s="426">
        <v>0</v>
      </c>
      <c r="F47" s="426">
        <v>0</v>
      </c>
      <c r="G47" s="427" t="s">
        <v>347</v>
      </c>
      <c r="H47" s="411">
        <v>3361781867.0999999</v>
      </c>
      <c r="I47" s="412">
        <v>2036692430.6999998</v>
      </c>
      <c r="J47" s="413">
        <v>1325089436.3999999</v>
      </c>
      <c r="K47" s="411">
        <f>(+L47+M47)/1000</f>
        <v>3361781.8670999995</v>
      </c>
      <c r="L47" s="414">
        <f>+I47+$E47</f>
        <v>2036692430.6999998</v>
      </c>
      <c r="M47" s="414">
        <f>+J47+$F47</f>
        <v>1325089436.3999999</v>
      </c>
      <c r="N47" s="411">
        <f>+O47+P47</f>
        <v>0</v>
      </c>
      <c r="O47" s="414">
        <f t="shared" si="12"/>
        <v>0</v>
      </c>
      <c r="P47" s="415">
        <f t="shared" si="12"/>
        <v>0</v>
      </c>
    </row>
    <row r="48" spans="1:16" ht="13.5" thickBot="1" x14ac:dyDescent="0.3">
      <c r="A48" s="378">
        <v>22</v>
      </c>
      <c r="B48" s="393">
        <v>46692</v>
      </c>
      <c r="C48" s="414"/>
      <c r="G48" s="394" t="s">
        <v>348</v>
      </c>
      <c r="H48" s="423">
        <v>19091914803.099998</v>
      </c>
      <c r="I48" s="424">
        <v>15493687375.9</v>
      </c>
      <c r="J48" s="425">
        <v>3598227427.1999998</v>
      </c>
      <c r="K48" s="423">
        <f t="shared" ref="K48:P48" si="13">+SUM(K49:K54)</f>
        <v>19560853.6644</v>
      </c>
      <c r="L48" s="424">
        <f t="shared" si="13"/>
        <v>15890072781.6</v>
      </c>
      <c r="M48" s="424">
        <f t="shared" si="13"/>
        <v>3670780882.8000002</v>
      </c>
      <c r="N48" s="423">
        <f t="shared" si="13"/>
        <v>4900000</v>
      </c>
      <c r="O48" s="424">
        <f t="shared" si="13"/>
        <v>4900000</v>
      </c>
      <c r="P48" s="425">
        <f t="shared" si="13"/>
        <v>0</v>
      </c>
    </row>
    <row r="49" spans="1:16" ht="13.5" thickBot="1" x14ac:dyDescent="0.3">
      <c r="A49" s="378">
        <v>23</v>
      </c>
      <c r="B49" s="393">
        <v>46722</v>
      </c>
      <c r="C49" s="414"/>
      <c r="E49" s="426">
        <f>C25</f>
        <v>4899999.9999999991</v>
      </c>
      <c r="F49" s="426"/>
      <c r="G49" s="427" t="s">
        <v>349</v>
      </c>
      <c r="H49" s="411">
        <v>13930610361</v>
      </c>
      <c r="I49" s="412">
        <v>11708376444</v>
      </c>
      <c r="J49" s="413">
        <v>2222233917</v>
      </c>
      <c r="K49" s="411">
        <f t="shared" ref="K49:K54" si="14">(+L49+M49)/1000</f>
        <v>13935510.361</v>
      </c>
      <c r="L49" s="414">
        <f t="shared" ref="L49:L54" si="15">+I49+$E49</f>
        <v>11713276444</v>
      </c>
      <c r="M49" s="414">
        <f t="shared" ref="M49:M54" si="16">+J49+$F49</f>
        <v>2222233917</v>
      </c>
      <c r="N49" s="411">
        <f t="shared" ref="N49:N54" si="17">+O49+P49</f>
        <v>4900000</v>
      </c>
      <c r="O49" s="414">
        <f t="shared" ref="O49:P54" si="18">+L49-I49</f>
        <v>4900000</v>
      </c>
      <c r="P49" s="415">
        <f t="shared" si="18"/>
        <v>0</v>
      </c>
    </row>
    <row r="50" spans="1:16" ht="13.5" thickBot="1" x14ac:dyDescent="0.3">
      <c r="A50" s="378">
        <v>24</v>
      </c>
      <c r="B50" s="393">
        <v>46753</v>
      </c>
      <c r="C50" s="414"/>
      <c r="E50" s="426">
        <v>0</v>
      </c>
      <c r="F50" s="426">
        <v>0</v>
      </c>
      <c r="G50" s="427" t="s">
        <v>350</v>
      </c>
      <c r="H50" s="411">
        <v>903999652</v>
      </c>
      <c r="I50" s="412">
        <v>903999652</v>
      </c>
      <c r="J50" s="413">
        <v>0</v>
      </c>
      <c r="K50" s="411">
        <f t="shared" si="14"/>
        <v>903999.652</v>
      </c>
      <c r="L50" s="414">
        <f t="shared" si="15"/>
        <v>903999652</v>
      </c>
      <c r="M50" s="414">
        <f t="shared" si="16"/>
        <v>0</v>
      </c>
      <c r="N50" s="411">
        <f t="shared" si="17"/>
        <v>0</v>
      </c>
      <c r="O50" s="414">
        <f t="shared" si="18"/>
        <v>0</v>
      </c>
      <c r="P50" s="415">
        <f t="shared" si="18"/>
        <v>0</v>
      </c>
    </row>
    <row r="51" spans="1:16" ht="13.5" thickBot="1" x14ac:dyDescent="0.3">
      <c r="A51" s="378">
        <v>25</v>
      </c>
      <c r="B51" s="393">
        <v>46784</v>
      </c>
      <c r="C51" s="414">
        <f>B26</f>
        <v>81666.666666666672</v>
      </c>
      <c r="E51" s="426">
        <v>0</v>
      </c>
      <c r="F51" s="426">
        <v>0</v>
      </c>
      <c r="G51" s="427" t="s">
        <v>351</v>
      </c>
      <c r="H51" s="411">
        <v>890363230</v>
      </c>
      <c r="I51" s="412">
        <v>614668269</v>
      </c>
      <c r="J51" s="413">
        <v>275694961</v>
      </c>
      <c r="K51" s="411">
        <f t="shared" si="14"/>
        <v>890363.23</v>
      </c>
      <c r="L51" s="414">
        <f t="shared" si="15"/>
        <v>614668269</v>
      </c>
      <c r="M51" s="414">
        <f t="shared" si="16"/>
        <v>275694961</v>
      </c>
      <c r="N51" s="411">
        <f t="shared" si="17"/>
        <v>0</v>
      </c>
      <c r="O51" s="414">
        <f t="shared" si="18"/>
        <v>0</v>
      </c>
      <c r="P51" s="415">
        <f t="shared" si="18"/>
        <v>0</v>
      </c>
    </row>
    <row r="52" spans="1:16" ht="13.5" thickBot="1" x14ac:dyDescent="0.3">
      <c r="A52" s="378">
        <v>26</v>
      </c>
      <c r="B52" s="393">
        <v>46813</v>
      </c>
      <c r="C52" s="414">
        <f>C51</f>
        <v>81666.666666666672</v>
      </c>
      <c r="E52" s="426">
        <v>0</v>
      </c>
      <c r="F52" s="426">
        <v>0</v>
      </c>
      <c r="G52" s="427" t="s">
        <v>352</v>
      </c>
      <c r="H52" s="411">
        <v>0</v>
      </c>
      <c r="I52" s="412">
        <v>0</v>
      </c>
      <c r="J52" s="413">
        <v>0</v>
      </c>
      <c r="K52" s="411">
        <f t="shared" si="14"/>
        <v>0</v>
      </c>
      <c r="L52" s="414">
        <f t="shared" si="15"/>
        <v>0</v>
      </c>
      <c r="M52" s="414">
        <f t="shared" si="16"/>
        <v>0</v>
      </c>
      <c r="N52" s="411">
        <f t="shared" si="17"/>
        <v>0</v>
      </c>
      <c r="O52" s="414">
        <f t="shared" si="18"/>
        <v>0</v>
      </c>
      <c r="P52" s="415">
        <f t="shared" si="18"/>
        <v>0</v>
      </c>
    </row>
    <row r="53" spans="1:16" ht="13.5" thickBot="1" x14ac:dyDescent="0.3">
      <c r="A53" s="378">
        <v>27</v>
      </c>
      <c r="B53" s="393">
        <v>46844</v>
      </c>
      <c r="C53" s="414">
        <f t="shared" ref="C53:C110" si="19">C52</f>
        <v>81666.666666666672</v>
      </c>
      <c r="E53" s="426">
        <v>0</v>
      </c>
      <c r="F53" s="426">
        <v>0</v>
      </c>
      <c r="G53" s="427" t="s">
        <v>353</v>
      </c>
      <c r="H53" s="411">
        <v>3511333523.4000001</v>
      </c>
      <c r="I53" s="412">
        <v>2581803654.6000004</v>
      </c>
      <c r="J53" s="413">
        <v>929529868.79999995</v>
      </c>
      <c r="K53" s="411">
        <f t="shared" si="14"/>
        <v>3511333.5234000008</v>
      </c>
      <c r="L53" s="414">
        <f t="shared" si="15"/>
        <v>2581803654.6000004</v>
      </c>
      <c r="M53" s="414">
        <f t="shared" si="16"/>
        <v>929529868.79999995</v>
      </c>
      <c r="N53" s="411">
        <f t="shared" si="17"/>
        <v>0</v>
      </c>
      <c r="O53" s="414">
        <f t="shared" si="18"/>
        <v>0</v>
      </c>
      <c r="P53" s="415">
        <f t="shared" si="18"/>
        <v>0</v>
      </c>
    </row>
    <row r="54" spans="1:16" ht="13.5" thickBot="1" x14ac:dyDescent="0.3">
      <c r="A54" s="378">
        <v>28</v>
      </c>
      <c r="B54" s="393">
        <v>46874</v>
      </c>
      <c r="C54" s="414">
        <f t="shared" si="19"/>
        <v>81666.666666666672</v>
      </c>
      <c r="E54" s="426">
        <v>0</v>
      </c>
      <c r="F54" s="426">
        <v>0</v>
      </c>
      <c r="G54" s="427" t="s">
        <v>354</v>
      </c>
      <c r="H54" s="428">
        <v>319646898</v>
      </c>
      <c r="I54" s="429">
        <v>76324762</v>
      </c>
      <c r="J54" s="430">
        <v>243322136</v>
      </c>
      <c r="K54" s="428">
        <f t="shared" si="14"/>
        <v>319646.89799999999</v>
      </c>
      <c r="L54" s="431">
        <f t="shared" si="15"/>
        <v>76324762</v>
      </c>
      <c r="M54" s="431">
        <f t="shared" si="16"/>
        <v>243322136</v>
      </c>
      <c r="N54" s="428">
        <f t="shared" si="17"/>
        <v>0</v>
      </c>
      <c r="O54" s="431">
        <f t="shared" si="18"/>
        <v>0</v>
      </c>
      <c r="P54" s="432">
        <f t="shared" si="18"/>
        <v>0</v>
      </c>
    </row>
    <row r="55" spans="1:16" ht="13.5" thickBot="1" x14ac:dyDescent="0.3">
      <c r="A55" s="378">
        <v>29</v>
      </c>
      <c r="B55" s="393">
        <v>46905</v>
      </c>
      <c r="C55" s="414">
        <f t="shared" si="19"/>
        <v>81666.666666666672</v>
      </c>
    </row>
    <row r="56" spans="1:16" ht="15.75" customHeight="1" thickBot="1" x14ac:dyDescent="0.3">
      <c r="A56" s="378">
        <v>30</v>
      </c>
      <c r="B56" s="393">
        <v>46935</v>
      </c>
      <c r="C56" s="414">
        <f t="shared" si="19"/>
        <v>81666.666666666672</v>
      </c>
      <c r="H56" s="634" t="s">
        <v>355</v>
      </c>
      <c r="I56" s="634"/>
      <c r="J56" s="634"/>
    </row>
    <row r="57" spans="1:16" ht="39" thickBot="1" x14ac:dyDescent="0.3">
      <c r="A57" s="378">
        <v>31</v>
      </c>
      <c r="B57" s="393">
        <v>46966</v>
      </c>
      <c r="C57" s="414">
        <f t="shared" si="19"/>
        <v>81666.666666666672</v>
      </c>
      <c r="E57" s="433"/>
      <c r="G57" s="394" t="s">
        <v>324</v>
      </c>
      <c r="H57" s="394" t="str">
        <f>+H30</f>
        <v>Joriy holat</v>
      </c>
      <c r="I57" s="394" t="str">
        <f>+K30</f>
        <v>Kredit ajratilgandan so`ng</v>
      </c>
      <c r="J57" s="394" t="str">
        <f>+N30</f>
        <v>Farqi</v>
      </c>
    </row>
    <row r="58" spans="1:16" ht="13.5" thickBot="1" x14ac:dyDescent="0.3">
      <c r="A58" s="378">
        <v>32</v>
      </c>
      <c r="B58" s="393">
        <v>46997</v>
      </c>
      <c r="C58" s="414">
        <f t="shared" si="19"/>
        <v>81666.666666666672</v>
      </c>
      <c r="E58" s="433"/>
      <c r="F58" s="426">
        <v>0</v>
      </c>
      <c r="G58" s="410" t="s">
        <v>356</v>
      </c>
      <c r="H58" s="434">
        <v>5566847506</v>
      </c>
      <c r="I58" s="435">
        <f>+H58+F58</f>
        <v>5566847506</v>
      </c>
      <c r="J58" s="436">
        <f t="shared" ref="J58:J63" si="20">+I58-H58</f>
        <v>0</v>
      </c>
    </row>
    <row r="59" spans="1:16" ht="13.5" thickBot="1" x14ac:dyDescent="0.3">
      <c r="A59" s="378">
        <v>33</v>
      </c>
      <c r="B59" s="393">
        <v>47027</v>
      </c>
      <c r="C59" s="414">
        <f t="shared" si="19"/>
        <v>81666.666666666672</v>
      </c>
      <c r="E59" s="433"/>
      <c r="F59" s="426">
        <v>0</v>
      </c>
      <c r="G59" s="410" t="s">
        <v>357</v>
      </c>
      <c r="H59" s="434">
        <v>702819003</v>
      </c>
      <c r="I59" s="435">
        <f>+H59+F59</f>
        <v>702819003</v>
      </c>
      <c r="J59" s="436">
        <f t="shared" si="20"/>
        <v>0</v>
      </c>
    </row>
    <row r="60" spans="1:16" ht="13.5" thickBot="1" x14ac:dyDescent="0.3">
      <c r="A60" s="378">
        <v>34</v>
      </c>
      <c r="B60" s="393">
        <v>47058</v>
      </c>
      <c r="C60" s="414">
        <f t="shared" si="19"/>
        <v>81666.666666666672</v>
      </c>
      <c r="E60" s="433"/>
      <c r="F60" s="426">
        <v>0</v>
      </c>
      <c r="G60" s="410" t="s">
        <v>358</v>
      </c>
      <c r="H60" s="392">
        <v>6269666509</v>
      </c>
      <c r="I60" s="392">
        <f>+I59+I58</f>
        <v>6269666509</v>
      </c>
      <c r="J60" s="436">
        <f t="shared" si="20"/>
        <v>0</v>
      </c>
    </row>
    <row r="61" spans="1:16" ht="13.5" thickBot="1" x14ac:dyDescent="0.3">
      <c r="A61" s="378">
        <v>35</v>
      </c>
      <c r="B61" s="393">
        <v>47088</v>
      </c>
      <c r="C61" s="414">
        <f t="shared" si="19"/>
        <v>81666.666666666672</v>
      </c>
      <c r="E61" s="433"/>
      <c r="F61" s="426">
        <f>+I66*C25</f>
        <v>8250972.8876009705</v>
      </c>
      <c r="G61" s="410" t="s">
        <v>359</v>
      </c>
      <c r="H61" s="434">
        <v>34270800987.801926</v>
      </c>
      <c r="I61" s="435">
        <f>+H61+F61</f>
        <v>34279051960.689526</v>
      </c>
      <c r="J61" s="435">
        <f t="shared" si="20"/>
        <v>8250972.8875999451</v>
      </c>
    </row>
    <row r="62" spans="1:16" ht="13.5" thickBot="1" x14ac:dyDescent="0.3">
      <c r="A62" s="378">
        <v>36</v>
      </c>
      <c r="B62" s="393">
        <v>47119</v>
      </c>
      <c r="C62" s="414">
        <f t="shared" si="19"/>
        <v>81666.666666666672</v>
      </c>
      <c r="E62" s="433"/>
      <c r="F62" s="426">
        <v>0</v>
      </c>
      <c r="G62" s="437" t="s">
        <v>360</v>
      </c>
      <c r="H62" s="438">
        <f>+H58/H61</f>
        <v>0.16243704102455672</v>
      </c>
      <c r="I62" s="438">
        <f>+I58/I61</f>
        <v>0.16239794240470654</v>
      </c>
      <c r="J62" s="438">
        <f t="shared" si="20"/>
        <v>-3.9098619850186367E-5</v>
      </c>
    </row>
    <row r="63" spans="1:16" ht="13.5" thickBot="1" x14ac:dyDescent="0.3">
      <c r="A63" s="378">
        <v>37</v>
      </c>
      <c r="B63" s="393">
        <v>47150</v>
      </c>
      <c r="C63" s="414">
        <f t="shared" si="19"/>
        <v>81666.666666666672</v>
      </c>
      <c r="E63" s="436">
        <f>+D63+C63</f>
        <v>81666.666666666672</v>
      </c>
      <c r="F63" s="426">
        <v>0</v>
      </c>
      <c r="G63" s="437" t="s">
        <v>361</v>
      </c>
      <c r="H63" s="439">
        <f>+H60/H61</f>
        <v>0.18294484891764201</v>
      </c>
      <c r="I63" s="439">
        <f>+I60/I61</f>
        <v>0.18290081406539241</v>
      </c>
      <c r="J63" s="438">
        <f t="shared" si="20"/>
        <v>-4.4034852249602574E-5</v>
      </c>
    </row>
    <row r="64" spans="1:16" ht="13.5" thickBot="1" x14ac:dyDescent="0.3">
      <c r="A64" s="378">
        <v>38</v>
      </c>
      <c r="B64" s="393">
        <v>47178</v>
      </c>
      <c r="C64" s="414">
        <f t="shared" si="19"/>
        <v>81666.666666666672</v>
      </c>
    </row>
    <row r="65" spans="1:10" ht="15.75" customHeight="1" thickBot="1" x14ac:dyDescent="0.3">
      <c r="A65" s="378">
        <v>39</v>
      </c>
      <c r="B65" s="393">
        <v>47209</v>
      </c>
      <c r="C65" s="414">
        <f t="shared" si="19"/>
        <v>81666.666666666672</v>
      </c>
      <c r="H65" s="634" t="str">
        <f>+H29</f>
        <v>Normativ  "L" fayl</v>
      </c>
      <c r="I65" s="634"/>
    </row>
    <row r="66" spans="1:10" ht="13.5" thickBot="1" x14ac:dyDescent="0.3">
      <c r="A66" s="378">
        <v>40</v>
      </c>
      <c r="B66" s="393">
        <v>47239</v>
      </c>
      <c r="C66" s="414">
        <f t="shared" si="19"/>
        <v>81666.666666666672</v>
      </c>
      <c r="G66" s="394" t="s">
        <v>362</v>
      </c>
      <c r="H66" s="440">
        <v>20352378698.587067</v>
      </c>
      <c r="I66" s="443">
        <f>+H61/H66</f>
        <v>1.6838720178777493</v>
      </c>
      <c r="J66" s="443">
        <f>I61/H66</f>
        <v>1.6842774237032696</v>
      </c>
    </row>
    <row r="67" spans="1:10" ht="13.5" thickBot="1" x14ac:dyDescent="0.3">
      <c r="A67" s="378">
        <v>41</v>
      </c>
      <c r="B67" s="393">
        <v>47270</v>
      </c>
      <c r="C67" s="414">
        <f t="shared" si="19"/>
        <v>81666.666666666672</v>
      </c>
    </row>
    <row r="68" spans="1:10" ht="13.5" thickBot="1" x14ac:dyDescent="0.3">
      <c r="A68" s="378">
        <v>42</v>
      </c>
      <c r="B68" s="393">
        <v>47300</v>
      </c>
      <c r="C68" s="414">
        <f t="shared" si="19"/>
        <v>81666.666666666672</v>
      </c>
    </row>
    <row r="69" spans="1:10" ht="13.5" thickBot="1" x14ac:dyDescent="0.3">
      <c r="A69" s="378">
        <v>43</v>
      </c>
      <c r="B69" s="393">
        <v>47331</v>
      </c>
      <c r="C69" s="414">
        <f t="shared" si="19"/>
        <v>81666.666666666672</v>
      </c>
    </row>
    <row r="70" spans="1:10" ht="17.25" thickBot="1" x14ac:dyDescent="0.3">
      <c r="A70" s="378">
        <v>44</v>
      </c>
      <c r="B70" s="393">
        <v>47362</v>
      </c>
      <c r="C70" s="414">
        <f t="shared" si="19"/>
        <v>81666.666666666672</v>
      </c>
      <c r="H70" s="342"/>
    </row>
    <row r="71" spans="1:10" ht="13.5" thickBot="1" x14ac:dyDescent="0.3">
      <c r="A71" s="378">
        <v>45</v>
      </c>
      <c r="B71" s="393">
        <v>47392</v>
      </c>
      <c r="C71" s="414">
        <f t="shared" si="19"/>
        <v>81666.666666666672</v>
      </c>
    </row>
    <row r="72" spans="1:10" ht="13.5" thickBot="1" x14ac:dyDescent="0.3">
      <c r="A72" s="378">
        <v>46</v>
      </c>
      <c r="B72" s="393">
        <v>47423</v>
      </c>
      <c r="C72" s="414">
        <f t="shared" si="19"/>
        <v>81666.666666666672</v>
      </c>
    </row>
    <row r="73" spans="1:10" ht="13.5" thickBot="1" x14ac:dyDescent="0.3">
      <c r="A73" s="378">
        <v>47</v>
      </c>
      <c r="B73" s="393">
        <v>47453</v>
      </c>
      <c r="C73" s="414">
        <f t="shared" si="19"/>
        <v>81666.666666666672</v>
      </c>
      <c r="H73" s="441"/>
    </row>
    <row r="74" spans="1:10" ht="13.5" thickBot="1" x14ac:dyDescent="0.3">
      <c r="A74" s="378">
        <v>48</v>
      </c>
      <c r="B74" s="393">
        <v>47484</v>
      </c>
      <c r="C74" s="414">
        <f t="shared" si="19"/>
        <v>81666.666666666672</v>
      </c>
    </row>
    <row r="75" spans="1:10" ht="13.5" thickBot="1" x14ac:dyDescent="0.3">
      <c r="A75" s="378">
        <v>49</v>
      </c>
      <c r="B75" s="393">
        <v>47515</v>
      </c>
      <c r="C75" s="414">
        <f t="shared" si="19"/>
        <v>81666.666666666672</v>
      </c>
    </row>
    <row r="76" spans="1:10" ht="13.5" thickBot="1" x14ac:dyDescent="0.3">
      <c r="A76" s="378">
        <v>50</v>
      </c>
      <c r="B76" s="393">
        <v>47543</v>
      </c>
      <c r="C76" s="414">
        <f t="shared" si="19"/>
        <v>81666.666666666672</v>
      </c>
    </row>
    <row r="77" spans="1:10" ht="13.5" thickBot="1" x14ac:dyDescent="0.3">
      <c r="A77" s="378">
        <v>51</v>
      </c>
      <c r="B77" s="393">
        <v>47574</v>
      </c>
      <c r="C77" s="414">
        <f t="shared" si="19"/>
        <v>81666.666666666672</v>
      </c>
    </row>
    <row r="78" spans="1:10" ht="13.5" thickBot="1" x14ac:dyDescent="0.3">
      <c r="A78" s="378">
        <v>52</v>
      </c>
      <c r="B78" s="393">
        <v>47604</v>
      </c>
      <c r="C78" s="414">
        <f t="shared" si="19"/>
        <v>81666.666666666672</v>
      </c>
    </row>
    <row r="79" spans="1:10" ht="13.5" thickBot="1" x14ac:dyDescent="0.3">
      <c r="A79" s="378">
        <v>53</v>
      </c>
      <c r="B79" s="393">
        <v>47635</v>
      </c>
      <c r="C79" s="414">
        <f t="shared" si="19"/>
        <v>81666.666666666672</v>
      </c>
    </row>
    <row r="80" spans="1:10" ht="13.5" thickBot="1" x14ac:dyDescent="0.3">
      <c r="A80" s="378">
        <v>54</v>
      </c>
      <c r="B80" s="393">
        <v>47665</v>
      </c>
      <c r="C80" s="414">
        <f t="shared" si="19"/>
        <v>81666.666666666672</v>
      </c>
    </row>
    <row r="81" spans="1:3" ht="13.5" thickBot="1" x14ac:dyDescent="0.3">
      <c r="A81" s="378">
        <v>55</v>
      </c>
      <c r="B81" s="393">
        <v>47696</v>
      </c>
      <c r="C81" s="414">
        <f t="shared" si="19"/>
        <v>81666.666666666672</v>
      </c>
    </row>
    <row r="82" spans="1:3" ht="13.5" thickBot="1" x14ac:dyDescent="0.3">
      <c r="A82" s="378">
        <v>56</v>
      </c>
      <c r="B82" s="393">
        <v>47727</v>
      </c>
      <c r="C82" s="414">
        <f t="shared" si="19"/>
        <v>81666.666666666672</v>
      </c>
    </row>
    <row r="83" spans="1:3" ht="13.5" thickBot="1" x14ac:dyDescent="0.3">
      <c r="A83" s="378">
        <v>57</v>
      </c>
      <c r="B83" s="393">
        <v>47757</v>
      </c>
      <c r="C83" s="414">
        <f t="shared" si="19"/>
        <v>81666.666666666672</v>
      </c>
    </row>
    <row r="84" spans="1:3" ht="13.5" thickBot="1" x14ac:dyDescent="0.3">
      <c r="A84" s="378">
        <v>58</v>
      </c>
      <c r="B84" s="393">
        <v>47788</v>
      </c>
      <c r="C84" s="414">
        <f t="shared" si="19"/>
        <v>81666.666666666672</v>
      </c>
    </row>
    <row r="85" spans="1:3" ht="13.5" thickBot="1" x14ac:dyDescent="0.3">
      <c r="A85" s="378">
        <v>59</v>
      </c>
      <c r="B85" s="393">
        <v>47818</v>
      </c>
      <c r="C85" s="414">
        <f t="shared" si="19"/>
        <v>81666.666666666672</v>
      </c>
    </row>
    <row r="86" spans="1:3" ht="13.5" thickBot="1" x14ac:dyDescent="0.3">
      <c r="A86" s="378">
        <v>60</v>
      </c>
      <c r="B86" s="393">
        <v>47849</v>
      </c>
      <c r="C86" s="414">
        <f t="shared" si="19"/>
        <v>81666.666666666672</v>
      </c>
    </row>
    <row r="87" spans="1:3" ht="13.5" thickBot="1" x14ac:dyDescent="0.3">
      <c r="A87" s="378">
        <v>61</v>
      </c>
      <c r="B87" s="393">
        <v>47880</v>
      </c>
      <c r="C87" s="414">
        <f t="shared" si="19"/>
        <v>81666.666666666672</v>
      </c>
    </row>
    <row r="88" spans="1:3" ht="13.5" thickBot="1" x14ac:dyDescent="0.3">
      <c r="A88" s="378">
        <v>62</v>
      </c>
      <c r="B88" s="393">
        <v>47908</v>
      </c>
      <c r="C88" s="414">
        <f t="shared" si="19"/>
        <v>81666.666666666672</v>
      </c>
    </row>
    <row r="89" spans="1:3" ht="13.5" thickBot="1" x14ac:dyDescent="0.3">
      <c r="A89" s="378">
        <v>63</v>
      </c>
      <c r="B89" s="393">
        <v>47939</v>
      </c>
      <c r="C89" s="414">
        <f t="shared" si="19"/>
        <v>81666.666666666672</v>
      </c>
    </row>
    <row r="90" spans="1:3" ht="13.5" thickBot="1" x14ac:dyDescent="0.3">
      <c r="A90" s="378">
        <v>64</v>
      </c>
      <c r="B90" s="393">
        <v>47969</v>
      </c>
      <c r="C90" s="414">
        <f t="shared" si="19"/>
        <v>81666.666666666672</v>
      </c>
    </row>
    <row r="91" spans="1:3" ht="13.5" thickBot="1" x14ac:dyDescent="0.3">
      <c r="A91" s="378">
        <v>65</v>
      </c>
      <c r="B91" s="393">
        <v>48000</v>
      </c>
      <c r="C91" s="414">
        <f t="shared" si="19"/>
        <v>81666.666666666672</v>
      </c>
    </row>
    <row r="92" spans="1:3" ht="13.5" thickBot="1" x14ac:dyDescent="0.3">
      <c r="A92" s="378">
        <v>66</v>
      </c>
      <c r="B92" s="393">
        <v>48030</v>
      </c>
      <c r="C92" s="414">
        <f t="shared" si="19"/>
        <v>81666.666666666672</v>
      </c>
    </row>
    <row r="93" spans="1:3" ht="13.5" thickBot="1" x14ac:dyDescent="0.3">
      <c r="A93" s="378">
        <v>67</v>
      </c>
      <c r="B93" s="393">
        <v>48061</v>
      </c>
      <c r="C93" s="414">
        <f t="shared" si="19"/>
        <v>81666.666666666672</v>
      </c>
    </row>
    <row r="94" spans="1:3" ht="13.5" thickBot="1" x14ac:dyDescent="0.3">
      <c r="A94" s="378">
        <v>68</v>
      </c>
      <c r="B94" s="393">
        <v>48092</v>
      </c>
      <c r="C94" s="414">
        <f t="shared" si="19"/>
        <v>81666.666666666672</v>
      </c>
    </row>
    <row r="95" spans="1:3" ht="13.5" thickBot="1" x14ac:dyDescent="0.3">
      <c r="A95" s="378">
        <v>69</v>
      </c>
      <c r="B95" s="393">
        <v>48122</v>
      </c>
      <c r="C95" s="414">
        <f t="shared" si="19"/>
        <v>81666.666666666672</v>
      </c>
    </row>
    <row r="96" spans="1:3" ht="13.5" thickBot="1" x14ac:dyDescent="0.3">
      <c r="A96" s="378">
        <v>70</v>
      </c>
      <c r="B96" s="393">
        <v>48153</v>
      </c>
      <c r="C96" s="414">
        <f t="shared" si="19"/>
        <v>81666.666666666672</v>
      </c>
    </row>
    <row r="97" spans="1:3" ht="13.5" thickBot="1" x14ac:dyDescent="0.3">
      <c r="A97" s="378">
        <v>71</v>
      </c>
      <c r="B97" s="393">
        <v>48183</v>
      </c>
      <c r="C97" s="414">
        <f t="shared" si="19"/>
        <v>81666.666666666672</v>
      </c>
    </row>
    <row r="98" spans="1:3" ht="13.5" thickBot="1" x14ac:dyDescent="0.3">
      <c r="A98" s="378">
        <v>72</v>
      </c>
      <c r="B98" s="393">
        <v>48214</v>
      </c>
      <c r="C98" s="414">
        <f t="shared" si="19"/>
        <v>81666.666666666672</v>
      </c>
    </row>
    <row r="99" spans="1:3" ht="13.5" thickBot="1" x14ac:dyDescent="0.3">
      <c r="A99" s="378">
        <v>73</v>
      </c>
      <c r="B99" s="393">
        <v>48245</v>
      </c>
      <c r="C99" s="414">
        <f t="shared" si="19"/>
        <v>81666.666666666672</v>
      </c>
    </row>
    <row r="100" spans="1:3" ht="13.5" thickBot="1" x14ac:dyDescent="0.3">
      <c r="A100" s="378">
        <v>74</v>
      </c>
      <c r="B100" s="393">
        <v>48274</v>
      </c>
      <c r="C100" s="414">
        <f t="shared" si="19"/>
        <v>81666.666666666672</v>
      </c>
    </row>
    <row r="101" spans="1:3" ht="13.5" thickBot="1" x14ac:dyDescent="0.3">
      <c r="A101" s="378">
        <v>75</v>
      </c>
      <c r="B101" s="393">
        <v>48305</v>
      </c>
      <c r="C101" s="414">
        <f t="shared" si="19"/>
        <v>81666.666666666672</v>
      </c>
    </row>
    <row r="102" spans="1:3" ht="13.5" thickBot="1" x14ac:dyDescent="0.3">
      <c r="A102" s="378">
        <v>76</v>
      </c>
      <c r="B102" s="393">
        <v>48335</v>
      </c>
      <c r="C102" s="414">
        <f t="shared" si="19"/>
        <v>81666.666666666672</v>
      </c>
    </row>
    <row r="103" spans="1:3" ht="13.5" thickBot="1" x14ac:dyDescent="0.3">
      <c r="A103" s="378">
        <v>77</v>
      </c>
      <c r="B103" s="393">
        <v>48366</v>
      </c>
      <c r="C103" s="414">
        <f t="shared" si="19"/>
        <v>81666.666666666672</v>
      </c>
    </row>
    <row r="104" spans="1:3" ht="13.5" thickBot="1" x14ac:dyDescent="0.3">
      <c r="A104" s="378">
        <v>78</v>
      </c>
      <c r="B104" s="393">
        <v>48396</v>
      </c>
      <c r="C104" s="414">
        <f t="shared" si="19"/>
        <v>81666.666666666672</v>
      </c>
    </row>
    <row r="105" spans="1:3" ht="13.5" thickBot="1" x14ac:dyDescent="0.3">
      <c r="A105" s="378">
        <v>79</v>
      </c>
      <c r="B105" s="393">
        <v>48427</v>
      </c>
      <c r="C105" s="414">
        <f t="shared" si="19"/>
        <v>81666.666666666672</v>
      </c>
    </row>
    <row r="106" spans="1:3" ht="13.5" thickBot="1" x14ac:dyDescent="0.3">
      <c r="A106" s="378">
        <v>80</v>
      </c>
      <c r="B106" s="393">
        <v>48458</v>
      </c>
      <c r="C106" s="414">
        <f t="shared" si="19"/>
        <v>81666.666666666672</v>
      </c>
    </row>
    <row r="107" spans="1:3" ht="13.5" thickBot="1" x14ac:dyDescent="0.3">
      <c r="A107" s="378">
        <v>81</v>
      </c>
      <c r="B107" s="393">
        <v>48488</v>
      </c>
      <c r="C107" s="414">
        <f t="shared" si="19"/>
        <v>81666.666666666672</v>
      </c>
    </row>
    <row r="108" spans="1:3" ht="13.5" thickBot="1" x14ac:dyDescent="0.3">
      <c r="A108" s="378">
        <v>82</v>
      </c>
      <c r="B108" s="393">
        <v>48519</v>
      </c>
      <c r="C108" s="414">
        <f t="shared" si="19"/>
        <v>81666.666666666672</v>
      </c>
    </row>
    <row r="109" spans="1:3" ht="13.5" thickBot="1" x14ac:dyDescent="0.3">
      <c r="A109" s="378">
        <v>83</v>
      </c>
      <c r="B109" s="393">
        <v>48549</v>
      </c>
      <c r="C109" s="414">
        <f t="shared" si="19"/>
        <v>81666.666666666672</v>
      </c>
    </row>
    <row r="110" spans="1:3" ht="13.5" thickBot="1" x14ac:dyDescent="0.3">
      <c r="A110" s="378">
        <v>84</v>
      </c>
      <c r="B110" s="393">
        <v>48580</v>
      </c>
      <c r="C110" s="414">
        <f t="shared" si="19"/>
        <v>81666.666666666672</v>
      </c>
    </row>
    <row r="111" spans="1:3" ht="13.5" thickBot="1" x14ac:dyDescent="0.3">
      <c r="A111" s="378">
        <v>85</v>
      </c>
      <c r="B111" s="393">
        <v>48611</v>
      </c>
      <c r="C111" s="392"/>
    </row>
    <row r="112" spans="1:3" ht="13.5" thickBot="1" x14ac:dyDescent="0.3">
      <c r="A112" s="378">
        <v>86</v>
      </c>
      <c r="B112" s="393">
        <v>48639</v>
      </c>
      <c r="C112" s="392"/>
    </row>
    <row r="113" spans="1:3" ht="13.5" thickBot="1" x14ac:dyDescent="0.3">
      <c r="A113" s="378">
        <v>87</v>
      </c>
      <c r="B113" s="393">
        <v>48670</v>
      </c>
      <c r="C113" s="392"/>
    </row>
    <row r="114" spans="1:3" ht="13.5" thickBot="1" x14ac:dyDescent="0.3">
      <c r="A114" s="378">
        <v>88</v>
      </c>
      <c r="B114" s="393">
        <v>48700</v>
      </c>
      <c r="C114" s="392"/>
    </row>
    <row r="115" spans="1:3" ht="13.5" thickBot="1" x14ac:dyDescent="0.3">
      <c r="A115" s="378">
        <v>89</v>
      </c>
      <c r="B115" s="393">
        <v>48731</v>
      </c>
      <c r="C115" s="392"/>
    </row>
    <row r="116" spans="1:3" ht="13.5" thickBot="1" x14ac:dyDescent="0.3">
      <c r="A116" s="378">
        <v>90</v>
      </c>
      <c r="B116" s="393">
        <v>48761</v>
      </c>
      <c r="C116" s="392"/>
    </row>
    <row r="117" spans="1:3" ht="13.5" thickBot="1" x14ac:dyDescent="0.3">
      <c r="A117" s="378">
        <v>91</v>
      </c>
      <c r="B117" s="393">
        <v>48792</v>
      </c>
      <c r="C117" s="392"/>
    </row>
    <row r="118" spans="1:3" ht="13.5" thickBot="1" x14ac:dyDescent="0.3">
      <c r="A118" s="378">
        <v>92</v>
      </c>
      <c r="B118" s="393">
        <v>48823</v>
      </c>
      <c r="C118" s="392"/>
    </row>
    <row r="119" spans="1:3" ht="13.5" thickBot="1" x14ac:dyDescent="0.3">
      <c r="A119" s="378">
        <v>93</v>
      </c>
      <c r="B119" s="393">
        <v>48853</v>
      </c>
      <c r="C119" s="392"/>
    </row>
    <row r="120" spans="1:3" ht="13.5" thickBot="1" x14ac:dyDescent="0.3">
      <c r="A120" s="378">
        <v>94</v>
      </c>
      <c r="B120" s="393">
        <v>48884</v>
      </c>
      <c r="C120" s="392"/>
    </row>
    <row r="121" spans="1:3" ht="13.5" thickBot="1" x14ac:dyDescent="0.3">
      <c r="A121" s="378">
        <v>95</v>
      </c>
      <c r="B121" s="393">
        <v>48914</v>
      </c>
      <c r="C121" s="392"/>
    </row>
    <row r="122" spans="1:3" ht="13.5" thickBot="1" x14ac:dyDescent="0.3">
      <c r="A122" s="378">
        <v>96</v>
      </c>
      <c r="B122" s="393">
        <v>48945</v>
      </c>
      <c r="C122" s="392"/>
    </row>
    <row r="123" spans="1:3" ht="13.5" thickBot="1" x14ac:dyDescent="0.3">
      <c r="A123" s="378">
        <v>97</v>
      </c>
      <c r="B123" s="393">
        <v>48976</v>
      </c>
      <c r="C123" s="392"/>
    </row>
    <row r="124" spans="1:3" ht="13.5" thickBot="1" x14ac:dyDescent="0.3">
      <c r="A124" s="378">
        <v>98</v>
      </c>
      <c r="B124" s="393">
        <v>49004</v>
      </c>
      <c r="C124" s="392"/>
    </row>
    <row r="125" spans="1:3" ht="13.5" thickBot="1" x14ac:dyDescent="0.3">
      <c r="A125" s="378">
        <v>99</v>
      </c>
      <c r="B125" s="393">
        <v>49035</v>
      </c>
      <c r="C125" s="392"/>
    </row>
    <row r="126" spans="1:3" ht="13.5" thickBot="1" x14ac:dyDescent="0.3">
      <c r="A126" s="378">
        <v>100</v>
      </c>
      <c r="B126" s="393">
        <v>49065</v>
      </c>
      <c r="C126" s="392"/>
    </row>
    <row r="127" spans="1:3" ht="13.5" thickBot="1" x14ac:dyDescent="0.3">
      <c r="A127" s="378">
        <v>101</v>
      </c>
      <c r="B127" s="393">
        <v>49096</v>
      </c>
      <c r="C127" s="392"/>
    </row>
    <row r="128" spans="1:3" ht="13.5" thickBot="1" x14ac:dyDescent="0.3">
      <c r="A128" s="378">
        <v>102</v>
      </c>
      <c r="B128" s="393">
        <v>49126</v>
      </c>
      <c r="C128" s="392"/>
    </row>
    <row r="129" spans="1:3" ht="13.5" thickBot="1" x14ac:dyDescent="0.3">
      <c r="A129" s="378">
        <v>103</v>
      </c>
      <c r="B129" s="393">
        <v>49157</v>
      </c>
      <c r="C129" s="392"/>
    </row>
    <row r="130" spans="1:3" ht="13.5" thickBot="1" x14ac:dyDescent="0.3">
      <c r="A130" s="378">
        <v>104</v>
      </c>
      <c r="B130" s="393">
        <v>49188</v>
      </c>
      <c r="C130" s="392"/>
    </row>
    <row r="131" spans="1:3" ht="13.5" thickBot="1" x14ac:dyDescent="0.3">
      <c r="A131" s="378">
        <v>105</v>
      </c>
      <c r="B131" s="393">
        <v>49218</v>
      </c>
      <c r="C131" s="392"/>
    </row>
    <row r="132" spans="1:3" ht="13.5" thickBot="1" x14ac:dyDescent="0.3">
      <c r="A132" s="378">
        <v>106</v>
      </c>
      <c r="B132" s="393">
        <v>49249</v>
      </c>
      <c r="C132" s="392"/>
    </row>
    <row r="133" spans="1:3" ht="13.5" thickBot="1" x14ac:dyDescent="0.3">
      <c r="A133" s="378">
        <v>107</v>
      </c>
      <c r="B133" s="393">
        <v>49279</v>
      </c>
      <c r="C133" s="392"/>
    </row>
    <row r="134" spans="1:3" ht="13.5" thickBot="1" x14ac:dyDescent="0.3">
      <c r="A134" s="378">
        <v>108</v>
      </c>
      <c r="B134" s="393">
        <v>49310</v>
      </c>
      <c r="C134" s="392"/>
    </row>
    <row r="135" spans="1:3" ht="13.5" thickBot="1" x14ac:dyDescent="0.3">
      <c r="A135" s="378">
        <v>109</v>
      </c>
      <c r="B135" s="393">
        <v>49341</v>
      </c>
      <c r="C135" s="392"/>
    </row>
    <row r="136" spans="1:3" ht="13.5" thickBot="1" x14ac:dyDescent="0.3">
      <c r="A136" s="378">
        <v>110</v>
      </c>
      <c r="B136" s="393">
        <v>49369</v>
      </c>
      <c r="C136" s="392"/>
    </row>
    <row r="137" spans="1:3" ht="13.5" thickBot="1" x14ac:dyDescent="0.3">
      <c r="A137" s="378">
        <v>111</v>
      </c>
      <c r="B137" s="393">
        <v>49400</v>
      </c>
      <c r="C137" s="392"/>
    </row>
    <row r="138" spans="1:3" ht="13.5" thickBot="1" x14ac:dyDescent="0.3">
      <c r="A138" s="378">
        <v>112</v>
      </c>
      <c r="B138" s="393">
        <v>49430</v>
      </c>
      <c r="C138" s="392"/>
    </row>
    <row r="139" spans="1:3" ht="13.5" thickBot="1" x14ac:dyDescent="0.3">
      <c r="A139" s="378">
        <v>113</v>
      </c>
      <c r="B139" s="393">
        <v>49461</v>
      </c>
      <c r="C139" s="392"/>
    </row>
    <row r="140" spans="1:3" ht="13.5" thickBot="1" x14ac:dyDescent="0.3">
      <c r="A140" s="378">
        <v>114</v>
      </c>
      <c r="B140" s="393">
        <v>49491</v>
      </c>
      <c r="C140" s="392"/>
    </row>
    <row r="141" spans="1:3" ht="13.5" thickBot="1" x14ac:dyDescent="0.3">
      <c r="A141" s="378">
        <v>115</v>
      </c>
      <c r="B141" s="393">
        <v>49522</v>
      </c>
      <c r="C141" s="392"/>
    </row>
    <row r="142" spans="1:3" ht="13.5" thickBot="1" x14ac:dyDescent="0.3">
      <c r="A142" s="378">
        <v>116</v>
      </c>
      <c r="B142" s="393">
        <v>49553</v>
      </c>
      <c r="C142" s="392"/>
    </row>
    <row r="143" spans="1:3" ht="13.5" thickBot="1" x14ac:dyDescent="0.3">
      <c r="A143" s="378">
        <v>117</v>
      </c>
      <c r="B143" s="393">
        <v>49583</v>
      </c>
      <c r="C143" s="392"/>
    </row>
    <row r="144" spans="1:3" ht="13.5" thickBot="1" x14ac:dyDescent="0.3">
      <c r="A144" s="378">
        <v>118</v>
      </c>
      <c r="B144" s="393">
        <v>49614</v>
      </c>
      <c r="C144" s="392"/>
    </row>
    <row r="145" spans="1:5" ht="13.5" thickBot="1" x14ac:dyDescent="0.3">
      <c r="A145" s="378">
        <v>119</v>
      </c>
      <c r="B145" s="393">
        <v>49644</v>
      </c>
      <c r="C145" s="392"/>
    </row>
    <row r="146" spans="1:5" ht="13.5" thickBot="1" x14ac:dyDescent="0.3">
      <c r="A146" s="378">
        <v>120</v>
      </c>
      <c r="B146" s="393">
        <v>49675</v>
      </c>
      <c r="C146" s="392"/>
      <c r="E146" s="436"/>
    </row>
  </sheetData>
  <mergeCells count="15">
    <mergeCell ref="N30:P30"/>
    <mergeCell ref="H56:J56"/>
    <mergeCell ref="H65:I65"/>
    <mergeCell ref="C8:E8"/>
    <mergeCell ref="F8:H8"/>
    <mergeCell ref="I8:K8"/>
    <mergeCell ref="H29:J29"/>
    <mergeCell ref="H30:J30"/>
    <mergeCell ref="K30:M30"/>
    <mergeCell ref="A1:K1"/>
    <mergeCell ref="A3:A4"/>
    <mergeCell ref="B3:B4"/>
    <mergeCell ref="C3:E3"/>
    <mergeCell ref="F3:H3"/>
    <mergeCell ref="I3:K3"/>
  </mergeCells>
  <conditionalFormatting sqref="I5:K7 I8">
    <cfRule type="cellIs" dxfId="3" priority="4" operator="lessThan">
      <formula>0</formula>
    </cfRule>
  </conditionalFormatting>
  <conditionalFormatting sqref="C24">
    <cfRule type="cellIs" dxfId="2" priority="1" operator="equal">
      <formula>0</formula>
    </cfRule>
    <cfRule type="cellIs" dxfId="1" priority="2" operator="lessThan">
      <formula>0</formula>
    </cfRule>
    <cfRule type="cellIs" dxfId="0" priority="3" operator="greaterThan">
      <formula>0</formula>
    </cfRule>
  </conditionalFormatting>
  <dataValidations count="1">
    <dataValidation type="list" allowBlank="1" showInputMessage="1" showErrorMessage="1" sqref="C2">
      <formula1>$L$1:$N$1</formula1>
    </dataValidation>
  </dataValidation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B1:N13"/>
  <sheetViews>
    <sheetView topLeftCell="H1" workbookViewId="0">
      <selection activeCell="M3" sqref="M3"/>
    </sheetView>
  </sheetViews>
  <sheetFormatPr defaultColWidth="9.140625" defaultRowHeight="16.5" x14ac:dyDescent="0.25"/>
  <cols>
    <col min="1" max="1" width="9.140625" style="212"/>
    <col min="2" max="2" width="42.5703125" style="212" customWidth="1"/>
    <col min="3" max="3" width="11.42578125" style="212" customWidth="1"/>
    <col min="4" max="4" width="16.5703125" style="212" bestFit="1" customWidth="1"/>
    <col min="5" max="5" width="18.140625" style="212" bestFit="1" customWidth="1"/>
    <col min="6" max="6" width="9.7109375" style="212" bestFit="1" customWidth="1"/>
    <col min="7" max="7" width="17.140625" style="212" customWidth="1"/>
    <col min="8" max="8" width="12" style="212" bestFit="1" customWidth="1"/>
    <col min="9" max="9" width="26.28515625" style="212" bestFit="1" customWidth="1"/>
    <col min="10" max="10" width="21.7109375" style="212" customWidth="1"/>
    <col min="11" max="11" width="22.85546875" style="212" bestFit="1" customWidth="1"/>
    <col min="12" max="12" width="13" style="212" bestFit="1" customWidth="1"/>
    <col min="13" max="13" width="13.5703125" style="212" customWidth="1"/>
    <col min="14" max="16384" width="9.140625" style="212"/>
  </cols>
  <sheetData>
    <row r="1" spans="2:14" x14ac:dyDescent="0.25">
      <c r="B1" s="644" t="s">
        <v>372</v>
      </c>
      <c r="C1" s="644"/>
      <c r="D1" s="644"/>
      <c r="E1" s="644"/>
      <c r="F1" s="644"/>
      <c r="G1" s="644"/>
      <c r="H1" s="644"/>
      <c r="I1" s="644"/>
      <c r="J1" s="644"/>
      <c r="K1" s="644"/>
      <c r="L1" s="644"/>
    </row>
    <row r="2" spans="2:14" s="233" customFormat="1" ht="33" x14ac:dyDescent="0.25">
      <c r="B2" s="360" t="s">
        <v>302</v>
      </c>
      <c r="C2" s="360" t="s">
        <v>301</v>
      </c>
      <c r="D2" s="360" t="s">
        <v>300</v>
      </c>
      <c r="E2" s="363" t="s">
        <v>299</v>
      </c>
      <c r="F2" s="357" t="s">
        <v>288</v>
      </c>
      <c r="G2" s="362" t="s">
        <v>298</v>
      </c>
      <c r="H2" s="361" t="s">
        <v>297</v>
      </c>
      <c r="I2" s="360" t="s">
        <v>296</v>
      </c>
      <c r="J2" s="360" t="s">
        <v>295</v>
      </c>
      <c r="K2" s="360" t="s">
        <v>294</v>
      </c>
      <c r="L2" s="359">
        <v>46023</v>
      </c>
      <c r="M2" s="359" t="s">
        <v>293</v>
      </c>
    </row>
    <row r="3" spans="2:14" ht="33" x14ac:dyDescent="0.25">
      <c r="B3" s="356" t="s">
        <v>292</v>
      </c>
      <c r="C3" s="355" t="s">
        <v>281</v>
      </c>
      <c r="D3" s="352">
        <v>0.45</v>
      </c>
      <c r="E3" s="352">
        <v>0.44</v>
      </c>
      <c r="F3" s="352" t="s">
        <v>291</v>
      </c>
      <c r="G3" s="352" t="s">
        <v>290</v>
      </c>
      <c r="H3" s="352" t="s">
        <v>289</v>
      </c>
      <c r="I3" s="353">
        <v>7514278877390.7998</v>
      </c>
      <c r="J3" s="354">
        <f>Xulosa!L4</f>
        <v>4900000000</v>
      </c>
      <c r="K3" s="353">
        <f>+J3+$I$3+$I$4+$I$5+$I$6</f>
        <v>20282791344901.891</v>
      </c>
      <c r="L3" s="352">
        <f>+I3/I7</f>
        <v>0.37056510213918181</v>
      </c>
      <c r="M3" s="358">
        <f>+(I3+J3)/K3</f>
        <v>0.37071716360582474</v>
      </c>
      <c r="N3" s="357" t="s">
        <v>288</v>
      </c>
    </row>
    <row r="4" spans="2:14" x14ac:dyDescent="0.25">
      <c r="B4" s="356" t="s">
        <v>287</v>
      </c>
      <c r="C4" s="355" t="s">
        <v>281</v>
      </c>
      <c r="D4" s="352">
        <v>0.25</v>
      </c>
      <c r="E4" s="352">
        <v>0.22</v>
      </c>
      <c r="F4" s="352" t="s">
        <v>285</v>
      </c>
      <c r="G4" s="352" t="s">
        <v>284</v>
      </c>
      <c r="H4" s="352" t="s">
        <v>283</v>
      </c>
      <c r="I4" s="353">
        <v>4237322087486.8066</v>
      </c>
      <c r="J4" s="354"/>
      <c r="K4" s="353">
        <f t="shared" ref="K4:K6" si="0">+J4+$I$3+$I$4+$I$5+$I$6</f>
        <v>20277891344901.891</v>
      </c>
      <c r="L4" s="352">
        <f>+I4/$I$7</f>
        <v>0.20896265866184952</v>
      </c>
      <c r="M4" s="352">
        <f>+(I4+J4)/K4</f>
        <v>0.20896265866184952</v>
      </c>
    </row>
    <row r="5" spans="2:14" x14ac:dyDescent="0.25">
      <c r="B5" s="356" t="s">
        <v>286</v>
      </c>
      <c r="C5" s="355" t="s">
        <v>281</v>
      </c>
      <c r="D5" s="352">
        <v>0.25</v>
      </c>
      <c r="E5" s="352">
        <v>0.22</v>
      </c>
      <c r="F5" s="352" t="s">
        <v>285</v>
      </c>
      <c r="G5" s="352" t="s">
        <v>284</v>
      </c>
      <c r="H5" s="352" t="s">
        <v>283</v>
      </c>
      <c r="I5" s="353">
        <v>4659501650498.3564</v>
      </c>
      <c r="J5" s="354"/>
      <c r="K5" s="353">
        <f t="shared" si="0"/>
        <v>20277891344901.891</v>
      </c>
      <c r="L5" s="352">
        <f>+I5/$I$7</f>
        <v>0.22978235612598902</v>
      </c>
      <c r="M5" s="352">
        <f>+(I5+J5)/K5</f>
        <v>0.22978235612598902</v>
      </c>
    </row>
    <row r="6" spans="2:14" x14ac:dyDescent="0.25">
      <c r="B6" s="356" t="s">
        <v>282</v>
      </c>
      <c r="C6" s="355" t="s">
        <v>281</v>
      </c>
      <c r="D6" s="352">
        <v>0.28999999999999998</v>
      </c>
      <c r="E6" s="352">
        <v>0.26</v>
      </c>
      <c r="F6" s="352" t="s">
        <v>280</v>
      </c>
      <c r="G6" s="352" t="s">
        <v>279</v>
      </c>
      <c r="H6" s="352" t="s">
        <v>278</v>
      </c>
      <c r="I6" s="353">
        <v>3866788729525.9307</v>
      </c>
      <c r="J6" s="354"/>
      <c r="K6" s="353">
        <f t="shared" si="0"/>
        <v>20277891344901.891</v>
      </c>
      <c r="L6" s="352">
        <f>+I6/$I$7</f>
        <v>0.19068988307297979</v>
      </c>
      <c r="M6" s="352">
        <f>+(I6+J6)/K6</f>
        <v>0.19068988307297979</v>
      </c>
    </row>
    <row r="7" spans="2:14" x14ac:dyDescent="0.25">
      <c r="I7" s="342">
        <f>SUM(I3:I6)</f>
        <v>20277891344901.891</v>
      </c>
    </row>
    <row r="9" spans="2:14" x14ac:dyDescent="0.25">
      <c r="I9" s="351"/>
    </row>
    <row r="10" spans="2:14" x14ac:dyDescent="0.25">
      <c r="I10" s="351"/>
    </row>
    <row r="11" spans="2:14" x14ac:dyDescent="0.25">
      <c r="I11" s="351"/>
    </row>
    <row r="12" spans="2:14" x14ac:dyDescent="0.25">
      <c r="I12" s="351"/>
    </row>
    <row r="13" spans="2:14" x14ac:dyDescent="0.25">
      <c r="I13" s="351"/>
    </row>
  </sheetData>
  <mergeCells count="1">
    <mergeCell ref="B1:L1"/>
  </mergeCells>
  <pageMargins left="0.7" right="0.7" top="0.75" bottom="0.75" header="0.3" footer="0.3"/>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15"/>
  <sheetViews>
    <sheetView workbookViewId="0"/>
  </sheetViews>
  <sheetFormatPr defaultColWidth="9.140625" defaultRowHeight="16.5" x14ac:dyDescent="0.25"/>
  <cols>
    <col min="1" max="1" width="9.140625" style="212"/>
    <col min="2" max="2" width="42.5703125" style="212" customWidth="1"/>
    <col min="3" max="3" width="11.42578125" style="212" customWidth="1"/>
    <col min="4" max="4" width="16.5703125" style="212" bestFit="1" customWidth="1"/>
    <col min="5" max="5" width="18.140625" style="212" bestFit="1" customWidth="1"/>
    <col min="6" max="6" width="9.7109375" style="212" bestFit="1" customWidth="1"/>
    <col min="7" max="7" width="19.85546875" style="212" bestFit="1" customWidth="1"/>
    <col min="8" max="8" width="12" style="212" bestFit="1" customWidth="1"/>
    <col min="9" max="9" width="23" style="212" customWidth="1"/>
    <col min="10" max="10" width="23.5703125" style="212" customWidth="1"/>
    <col min="11" max="11" width="22.85546875" style="212" bestFit="1" customWidth="1"/>
    <col min="12" max="12" width="13" style="212" bestFit="1" customWidth="1"/>
    <col min="13" max="13" width="13.5703125" style="212" customWidth="1"/>
    <col min="14" max="16384" width="9.140625" style="212"/>
  </cols>
  <sheetData>
    <row r="1" spans="2:14" x14ac:dyDescent="0.25">
      <c r="B1" s="644" t="s">
        <v>369</v>
      </c>
      <c r="C1" s="644"/>
      <c r="D1" s="644"/>
      <c r="E1" s="644"/>
      <c r="F1" s="644"/>
      <c r="G1" s="644"/>
      <c r="H1" s="644"/>
      <c r="I1" s="644"/>
      <c r="J1" s="644"/>
      <c r="K1" s="644"/>
      <c r="L1" s="644"/>
    </row>
    <row r="2" spans="2:14" s="233" customFormat="1" ht="33" x14ac:dyDescent="0.25">
      <c r="B2" s="360" t="s">
        <v>302</v>
      </c>
      <c r="C2" s="360" t="s">
        <v>301</v>
      </c>
      <c r="D2" s="360" t="s">
        <v>300</v>
      </c>
      <c r="E2" s="363" t="s">
        <v>299</v>
      </c>
      <c r="F2" s="357" t="s">
        <v>288</v>
      </c>
      <c r="G2" s="362" t="s">
        <v>298</v>
      </c>
      <c r="H2" s="361" t="s">
        <v>297</v>
      </c>
      <c r="I2" s="360" t="s">
        <v>309</v>
      </c>
      <c r="J2" s="360" t="s">
        <v>295</v>
      </c>
      <c r="K2" s="360" t="s">
        <v>308</v>
      </c>
      <c r="L2" s="359">
        <v>45962</v>
      </c>
      <c r="M2" s="359" t="s">
        <v>293</v>
      </c>
    </row>
    <row r="3" spans="2:14" ht="33" x14ac:dyDescent="0.25">
      <c r="B3" s="356" t="s">
        <v>364</v>
      </c>
      <c r="C3" s="355" t="s">
        <v>281</v>
      </c>
      <c r="D3" s="352">
        <v>0.24</v>
      </c>
      <c r="E3" s="352">
        <v>0.22</v>
      </c>
      <c r="F3" s="352" t="s">
        <v>285</v>
      </c>
      <c r="G3" s="352" t="s">
        <v>307</v>
      </c>
      <c r="H3" s="352" t="s">
        <v>306</v>
      </c>
      <c r="I3" s="353">
        <v>1614873558952.8201</v>
      </c>
      <c r="J3" s="354">
        <f>Xulosa!L4</f>
        <v>4900000000</v>
      </c>
      <c r="K3" s="353">
        <v>7611336122387.4131</v>
      </c>
      <c r="L3" s="352">
        <f>+I3/K3</f>
        <v>0.21216689592816065</v>
      </c>
      <c r="M3" s="358">
        <f>+(I3+J3)/K3</f>
        <v>0.21281067251629313</v>
      </c>
      <c r="N3" s="357" t="s">
        <v>288</v>
      </c>
    </row>
    <row r="4" spans="2:14" ht="16.5" customHeight="1" x14ac:dyDescent="0.25">
      <c r="B4" s="356" t="s">
        <v>287</v>
      </c>
      <c r="C4" s="355" t="s">
        <v>281</v>
      </c>
      <c r="D4" s="352">
        <v>0.3</v>
      </c>
      <c r="E4" s="352">
        <v>0.28000000000000003</v>
      </c>
      <c r="F4" s="352" t="s">
        <v>305</v>
      </c>
      <c r="G4" s="352" t="s">
        <v>304</v>
      </c>
      <c r="H4" s="352" t="s">
        <v>303</v>
      </c>
      <c r="I4" s="353">
        <v>911672526666.14063</v>
      </c>
      <c r="J4" s="354"/>
      <c r="K4" s="353">
        <v>4176461819542.4175</v>
      </c>
      <c r="L4" s="352">
        <f>+I4/K4</f>
        <v>0.21828824638124561</v>
      </c>
      <c r="M4" s="352">
        <f>+(I4+J4)/K4</f>
        <v>0.21828824638124561</v>
      </c>
    </row>
    <row r="5" spans="2:14" ht="16.5" customHeight="1" x14ac:dyDescent="0.25">
      <c r="B5" s="356" t="s">
        <v>286</v>
      </c>
      <c r="C5" s="355" t="s">
        <v>281</v>
      </c>
      <c r="D5" s="352">
        <v>0.3</v>
      </c>
      <c r="E5" s="352">
        <v>0.28000000000000003</v>
      </c>
      <c r="F5" s="352" t="s">
        <v>305</v>
      </c>
      <c r="G5" s="352" t="s">
        <v>304</v>
      </c>
      <c r="H5" s="352" t="s">
        <v>303</v>
      </c>
      <c r="I5" s="353">
        <v>1952287684037.2683</v>
      </c>
      <c r="J5" s="354"/>
      <c r="K5" s="353">
        <v>4533813125020.6533</v>
      </c>
      <c r="L5" s="352">
        <f>+I5/K5</f>
        <v>0.43060612120583924</v>
      </c>
      <c r="M5" s="352">
        <f>+(I5+J5)/K5</f>
        <v>0.43060612120583924</v>
      </c>
    </row>
    <row r="6" spans="2:14" x14ac:dyDescent="0.25">
      <c r="G6" s="212" t="s">
        <v>363</v>
      </c>
      <c r="I6" s="353">
        <f>+SUM(I3:I5)</f>
        <v>4478833769656.2295</v>
      </c>
      <c r="J6" s="342"/>
      <c r="K6" s="353">
        <v>20352378698587.066</v>
      </c>
      <c r="L6" s="352">
        <f>+I6/K6</f>
        <v>0.22006438834430522</v>
      </c>
      <c r="M6" s="358">
        <f>+(I6+J6)/K6</f>
        <v>0.22006438834430522</v>
      </c>
    </row>
    <row r="8" spans="2:14" x14ac:dyDescent="0.25">
      <c r="I8" s="351"/>
    </row>
    <row r="9" spans="2:14" x14ac:dyDescent="0.25">
      <c r="I9" s="351"/>
    </row>
    <row r="10" spans="2:14" x14ac:dyDescent="0.25">
      <c r="I10" s="351"/>
    </row>
    <row r="11" spans="2:14" x14ac:dyDescent="0.25">
      <c r="I11" s="351"/>
    </row>
    <row r="12" spans="2:14" x14ac:dyDescent="0.25">
      <c r="I12" s="351"/>
    </row>
    <row r="13" spans="2:14" x14ac:dyDescent="0.25">
      <c r="I13" s="258"/>
      <c r="J13" s="258"/>
    </row>
    <row r="14" spans="2:14" x14ac:dyDescent="0.25">
      <c r="I14" s="258"/>
      <c r="J14" s="258"/>
    </row>
    <row r="15" spans="2:14" x14ac:dyDescent="0.25">
      <c r="I15" s="258"/>
      <c r="J15" s="258"/>
    </row>
  </sheetData>
  <mergeCells count="1">
    <mergeCell ref="B1:L1"/>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10</vt:i4>
      </vt:variant>
      <vt:variant>
        <vt:lpstr>Именованные диапазоны</vt:lpstr>
      </vt:variant>
      <vt:variant>
        <vt:i4>4</vt:i4>
      </vt:variant>
    </vt:vector>
  </HeadingPairs>
  <TitlesOfParts>
    <vt:vector size="14" baseType="lpstr">
      <vt:lpstr>Xulosa</vt:lpstr>
      <vt:lpstr>1.Moliyaviy natijalar</vt:lpstr>
      <vt:lpstr>2.NPV-IRR</vt:lpstr>
      <vt:lpstr>2.NPV-IRR (2)</vt:lpstr>
      <vt:lpstr>3.Кредит таъминоти</vt:lpstr>
      <vt:lpstr>4. Кредит тарихи</vt:lpstr>
      <vt:lpstr>5. ҲР айланма ва қарз юки</vt:lpstr>
      <vt:lpstr>6.Likvidlik ko‘rsatkich o‘zgari</vt:lpstr>
      <vt:lpstr>7.Risk appetitga ta'siri</vt:lpstr>
      <vt:lpstr>8.Yuqori foiz stavkada kredit</vt:lpstr>
      <vt:lpstr>'2.NPV-IRR'!Область_печати</vt:lpstr>
      <vt:lpstr>'2.NPV-IRR (2)'!Область_печати</vt:lpstr>
      <vt:lpstr>'3.Кредит таъминоти'!Область_печати</vt:lpstr>
      <vt:lpstr>Xulosa!Область_печати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Djamshid Shermatov</dc:creator>
  <cp:lastModifiedBy>Asrarov A'zam Baxrom o'g'li</cp:lastModifiedBy>
  <cp:lastPrinted>2025-12-19T11:47:20Z</cp:lastPrinted>
  <dcterms:created xsi:type="dcterms:W3CDTF">2024-12-10T07:39:56Z</dcterms:created>
  <dcterms:modified xsi:type="dcterms:W3CDTF">2026-01-28T07:20:11Z</dcterms:modified>
</cp:coreProperties>
</file>