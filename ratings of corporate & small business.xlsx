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asrarov\Desktop\"/>
    </mc:Choice>
  </mc:AlternateContent>
  <bookViews>
    <workbookView xWindow="0" yWindow="0" windowWidth="13725" windowHeight="12060" activeTab="4"/>
  </bookViews>
  <sheets>
    <sheet name="Sheet1" sheetId="1" r:id="rId1"/>
    <sheet name="Баланс" sheetId="2" r:id="rId2"/>
    <sheet name="Оборотка" sheetId="3" r:id="rId3"/>
    <sheet name="LGD" sheetId="5" r:id="rId4"/>
    <sheet name="Лист1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6" l="1"/>
  <c r="K12" i="6"/>
  <c r="P5" i="6"/>
  <c r="Q5" i="6"/>
  <c r="R5" i="6"/>
  <c r="S5" i="6"/>
  <c r="P6" i="6"/>
  <c r="Q6" i="6"/>
  <c r="R6" i="6"/>
  <c r="S6" i="6"/>
  <c r="P7" i="6"/>
  <c r="Q7" i="6"/>
  <c r="R7" i="6"/>
  <c r="S7" i="6"/>
  <c r="P8" i="6"/>
  <c r="Q8" i="6"/>
  <c r="R8" i="6"/>
  <c r="S8" i="6"/>
  <c r="P9" i="6"/>
  <c r="Q9" i="6"/>
  <c r="R9" i="6"/>
  <c r="S9" i="6"/>
  <c r="S4" i="6"/>
  <c r="Q4" i="6"/>
  <c r="P4" i="6"/>
  <c r="M4" i="6"/>
  <c r="L4" i="6"/>
  <c r="M9" i="6"/>
  <c r="M8" i="6"/>
  <c r="M7" i="6"/>
  <c r="M6" i="6"/>
  <c r="M5" i="6"/>
  <c r="N4" i="6"/>
  <c r="H10" i="6"/>
  <c r="H12" i="6"/>
  <c r="K5" i="6"/>
  <c r="K11" i="6"/>
  <c r="K10" i="6"/>
  <c r="K9" i="6"/>
  <c r="K8" i="6"/>
  <c r="K7" i="6"/>
  <c r="K6" i="6"/>
  <c r="K4" i="6"/>
  <c r="O4" i="6"/>
  <c r="W7" i="6"/>
  <c r="T5" i="6"/>
  <c r="U5" i="6"/>
  <c r="V5" i="6"/>
  <c r="W5" i="6"/>
  <c r="T6" i="6"/>
  <c r="U6" i="6"/>
  <c r="V6" i="6"/>
  <c r="W6" i="6"/>
  <c r="T7" i="6"/>
  <c r="U7" i="6"/>
  <c r="V7" i="6"/>
  <c r="T8" i="6"/>
  <c r="U8" i="6"/>
  <c r="V8" i="6"/>
  <c r="W8" i="6"/>
  <c r="T9" i="6"/>
  <c r="U9" i="6"/>
  <c r="V9" i="6"/>
  <c r="W9" i="6"/>
  <c r="W4" i="6"/>
  <c r="V4" i="6"/>
  <c r="U4" i="6"/>
  <c r="T4" i="6"/>
  <c r="L5" i="6"/>
  <c r="N5" i="6"/>
  <c r="O5" i="6"/>
  <c r="L6" i="6"/>
  <c r="N6" i="6"/>
  <c r="O6" i="6"/>
  <c r="L7" i="6"/>
  <c r="N7" i="6"/>
  <c r="O7" i="6"/>
  <c r="L8" i="6"/>
  <c r="N8" i="6"/>
  <c r="O8" i="6"/>
  <c r="L9" i="6"/>
  <c r="N9" i="6"/>
  <c r="O9" i="6"/>
  <c r="H5" i="6" l="1"/>
  <c r="H6" i="6"/>
  <c r="H7" i="6"/>
  <c r="H8" i="6"/>
  <c r="H9" i="6"/>
  <c r="H4" i="6"/>
  <c r="E5" i="6"/>
  <c r="E6" i="6"/>
  <c r="E7" i="6"/>
  <c r="E8" i="6"/>
  <c r="E9" i="6"/>
  <c r="E4" i="6"/>
  <c r="E6" i="1" l="1"/>
  <c r="E9" i="1"/>
  <c r="E8" i="1"/>
  <c r="E7" i="1"/>
  <c r="D7" i="1"/>
  <c r="E4" i="1"/>
  <c r="E5" i="1"/>
  <c r="D10" i="1"/>
  <c r="D9" i="1"/>
  <c r="D6" i="1"/>
  <c r="D8" i="1"/>
  <c r="G26" i="3"/>
  <c r="F7" i="5" l="1"/>
  <c r="G6" i="5"/>
  <c r="G4" i="5"/>
  <c r="G5" i="5"/>
  <c r="G3" i="5"/>
  <c r="G7" i="5" l="1"/>
  <c r="D11" i="1"/>
  <c r="E13" i="1" l="1"/>
  <c r="G9" i="1" s="1"/>
  <c r="E10" i="1"/>
  <c r="E11" i="1"/>
  <c r="I26" i="3"/>
  <c r="I21" i="3"/>
  <c r="I11" i="3"/>
  <c r="I12" i="3"/>
  <c r="I13" i="3"/>
  <c r="I14" i="3"/>
  <c r="I15" i="3"/>
  <c r="E12" i="1"/>
  <c r="I10" i="3" l="1"/>
  <c r="I9" i="3"/>
  <c r="I8" i="3"/>
  <c r="I7" i="3"/>
  <c r="I20" i="3" l="1"/>
  <c r="H20" i="3"/>
  <c r="G20" i="3"/>
  <c r="G19" i="3"/>
  <c r="H19" i="3"/>
  <c r="I19" i="3"/>
  <c r="I18" i="3"/>
  <c r="H18" i="3"/>
  <c r="G18" i="3"/>
  <c r="H17" i="3"/>
  <c r="G17" i="3"/>
  <c r="I5" i="3"/>
  <c r="I6" i="3"/>
  <c r="G21" i="3" l="1"/>
  <c r="H21" i="3"/>
  <c r="I4" i="3" l="1"/>
  <c r="I17" i="3" s="1"/>
</calcChain>
</file>

<file path=xl/sharedStrings.xml><?xml version="1.0" encoding="utf-8"?>
<sst xmlns="http://schemas.openxmlformats.org/spreadsheetml/2006/main" count="195" uniqueCount="119">
  <si>
    <t>Критерий</t>
  </si>
  <si>
    <t>Результат</t>
  </si>
  <si>
    <t>Сумма кредита</t>
  </si>
  <si>
    <r>
      <rPr>
        <b/>
        <sz val="11"/>
        <color theme="1"/>
        <rFont val="Calibri"/>
        <family val="2"/>
        <scheme val="minor"/>
      </rPr>
      <t>Ф1:</t>
    </r>
    <r>
      <rPr>
        <sz val="11"/>
        <color theme="1"/>
        <rFont val="Calibri"/>
        <family val="2"/>
        <scheme val="minor"/>
      </rPr>
      <t xml:space="preserve"> 140</t>
    </r>
  </si>
  <si>
    <r>
      <rPr>
        <b/>
        <sz val="11"/>
        <color theme="1"/>
        <rFont val="Calibri"/>
        <family val="2"/>
        <scheme val="minor"/>
      </rPr>
      <t>Ф1:</t>
    </r>
    <r>
      <rPr>
        <sz val="11"/>
        <color theme="1"/>
        <rFont val="Calibri"/>
        <family val="2"/>
        <scheme val="minor"/>
      </rPr>
      <t xml:space="preserve"> 210</t>
    </r>
  </si>
  <si>
    <r>
      <rPr>
        <b/>
        <sz val="11"/>
        <color theme="1"/>
        <rFont val="Calibri"/>
        <family val="2"/>
        <scheme val="minor"/>
      </rPr>
      <t>Ф1:</t>
    </r>
    <r>
      <rPr>
        <sz val="11"/>
        <color theme="1"/>
        <rFont val="Calibri"/>
        <family val="2"/>
        <scheme val="minor"/>
      </rPr>
      <t xml:space="preserve"> 320</t>
    </r>
  </si>
  <si>
    <t>Наименование показателя</t>
  </si>
  <si>
    <t>Код стр.</t>
  </si>
  <si>
    <t xml:space="preserve">Показатель на отчетную дату </t>
  </si>
  <si>
    <t>Денежные средства, всего (стр. 330+340+350+360)</t>
  </si>
  <si>
    <t>Дебиторы, всего
(стр. 220 + 230 + 240 + 250 + 260 + 270 + 280 + 290 + 300 + 310)</t>
  </si>
  <si>
    <t>Товарно-материальные запасы, всего (стр. 150 + 160 + 170 + 180)</t>
  </si>
  <si>
    <t>Текущие обязательства, всего
(стр. 610 + 620 + 630 + … + 740 + 750 + 760)</t>
  </si>
  <si>
    <r>
      <rPr>
        <b/>
        <sz val="11"/>
        <color theme="1"/>
        <rFont val="Calibri"/>
        <family val="2"/>
        <scheme val="minor"/>
      </rPr>
      <t>Ф1:</t>
    </r>
    <r>
      <rPr>
        <sz val="11"/>
        <color theme="1"/>
        <rFont val="Calibri"/>
        <family val="2"/>
        <scheme val="minor"/>
      </rPr>
      <t xml:space="preserve"> 600</t>
    </r>
  </si>
  <si>
    <t>Автономия</t>
  </si>
  <si>
    <t>Покрытия</t>
  </si>
  <si>
    <t>Остаточная (балансовая) стоимость (стр. 020-021)</t>
  </si>
  <si>
    <r>
      <rPr>
        <b/>
        <sz val="11"/>
        <color theme="1"/>
        <rFont val="Calibri"/>
        <family val="2"/>
        <scheme val="minor"/>
      </rPr>
      <t>Ф1:</t>
    </r>
    <r>
      <rPr>
        <sz val="11"/>
        <color theme="1"/>
        <rFont val="Calibri"/>
        <family val="2"/>
        <scheme val="minor"/>
      </rPr>
      <t xml:space="preserve"> 022</t>
    </r>
  </si>
  <si>
    <t>Источники собственных средств (стр. 410+420+430-440+450+460+470)</t>
  </si>
  <si>
    <r>
      <rPr>
        <b/>
        <sz val="11"/>
        <color theme="1"/>
        <rFont val="Calibri"/>
        <family val="2"/>
        <scheme val="minor"/>
      </rPr>
      <t>Ф1:</t>
    </r>
    <r>
      <rPr>
        <sz val="11"/>
        <color theme="1"/>
        <rFont val="Calibri"/>
        <family val="2"/>
        <scheme val="minor"/>
      </rPr>
      <t xml:space="preserve"> 480</t>
    </r>
  </si>
  <si>
    <r>
      <rPr>
        <b/>
        <sz val="11"/>
        <color theme="1"/>
        <rFont val="Calibri"/>
        <family val="2"/>
        <scheme val="minor"/>
      </rPr>
      <t>Ф1:</t>
    </r>
    <r>
      <rPr>
        <sz val="11"/>
        <color theme="1"/>
        <rFont val="Calibri"/>
        <family val="2"/>
        <scheme val="minor"/>
      </rPr>
      <t xml:space="preserve"> 510</t>
    </r>
  </si>
  <si>
    <r>
      <rPr>
        <b/>
        <sz val="11"/>
        <color theme="1"/>
        <rFont val="Calibri"/>
        <family val="2"/>
        <scheme val="minor"/>
      </rPr>
      <t>Ф1:</t>
    </r>
    <r>
      <rPr>
        <sz val="11"/>
        <color theme="1"/>
        <rFont val="Calibri"/>
        <family val="2"/>
        <scheme val="minor"/>
      </rPr>
      <t xml:space="preserve"> 780</t>
    </r>
  </si>
  <si>
    <t>Долгоср. задолж. обособленным подразделениям (7110)</t>
  </si>
  <si>
    <t>ВСЕГО ПО ПАССИВУ БАЛАНСА (стр. 480+стр. 770)</t>
  </si>
  <si>
    <t>UZS</t>
  </si>
  <si>
    <t>Период (начало-конец)</t>
  </si>
  <si>
    <t>Валюта счёта</t>
  </si>
  <si>
    <t>Дебет</t>
  </si>
  <si>
    <t>Кредит</t>
  </si>
  <si>
    <t>Среднемесячный оборот по счёту</t>
  </si>
  <si>
    <t>Оборот среднемесячный</t>
  </si>
  <si>
    <t>KATM</t>
  </si>
  <si>
    <t>Показатель</t>
  </si>
  <si>
    <t>Долговая нагрузка</t>
  </si>
  <si>
    <t>Оборотка клиента</t>
  </si>
  <si>
    <t>LGD</t>
  </si>
  <si>
    <t>Обслуживающий банк</t>
  </si>
  <si>
    <t>ТБС</t>
  </si>
  <si>
    <t>Уникал</t>
  </si>
  <si>
    <t>00547227</t>
  </si>
  <si>
    <r>
      <rPr>
        <b/>
        <sz val="18"/>
        <color theme="1"/>
        <rFont val="Calibri"/>
        <family val="2"/>
        <charset val="204"/>
        <scheme val="minor"/>
      </rPr>
      <t>Информация об оборотах компани по расчётным счетам</t>
    </r>
    <r>
      <rPr>
        <sz val="18"/>
        <color theme="1"/>
        <rFont val="Calibri"/>
        <family val="2"/>
        <charset val="204"/>
        <scheme val="minor"/>
      </rPr>
      <t xml:space="preserve"> </t>
    </r>
    <r>
      <rPr>
        <sz val="18"/>
        <color rgb="FF00B0F0"/>
        <rFont val="Calibri"/>
        <family val="2"/>
        <charset val="204"/>
        <scheme val="minor"/>
      </rPr>
      <t>(наличие других счетов сверить с НИББД)</t>
    </r>
  </si>
  <si>
    <t>ИТОГО UZS</t>
  </si>
  <si>
    <t>ИТОГО USD</t>
  </si>
  <si>
    <t>USD</t>
  </si>
  <si>
    <t>ИТОГО EUR</t>
  </si>
  <si>
    <t>EUR</t>
  </si>
  <si>
    <t>ИТОГО РУБЛЬ</t>
  </si>
  <si>
    <t>РУБЛЬ</t>
  </si>
  <si>
    <t>сум</t>
  </si>
  <si>
    <t>€ Курс ЕВРО</t>
  </si>
  <si>
    <t>₽ Курс РУБЛЯ</t>
  </si>
  <si>
    <t>$ Курс ДОЛЛАРА</t>
  </si>
  <si>
    <t>Кредитная нагрузка относительно оборотов</t>
  </si>
  <si>
    <t>Соха</t>
  </si>
  <si>
    <t>O’rtacha 1 oylik debet aylnama</t>
  </si>
  <si>
    <t>O’rtacha 1 oylik qarz yuki</t>
  </si>
  <si>
    <t>Nisbati</t>
  </si>
  <si>
    <t>Корпоратив</t>
  </si>
  <si>
    <t>Курс валют</t>
  </si>
  <si>
    <t>Показатели баланса Ф1, Ф2</t>
  </si>
  <si>
    <t>OOO "SAMPLE"</t>
  </si>
  <si>
    <t>MAX 100</t>
  </si>
  <si>
    <t>№</t>
  </si>
  <si>
    <t xml:space="preserve"> А </t>
  </si>
  <si>
    <t>Chamber.uz</t>
  </si>
  <si>
    <t>Ликвидность (текущая)</t>
  </si>
  <si>
    <t>00547228</t>
  </si>
  <si>
    <t>00547229</t>
  </si>
  <si>
    <t>00547230</t>
  </si>
  <si>
    <t>00547231</t>
  </si>
  <si>
    <t>Дата открытия пп</t>
  </si>
  <si>
    <t>Уд. вес</t>
  </si>
  <si>
    <t>Тип залога:</t>
  </si>
  <si>
    <t>Уровень ликвидности</t>
  </si>
  <si>
    <t>Балл</t>
  </si>
  <si>
    <t>Гос гарантии, депозиты, ценные бумаги, драгметаллы</t>
  </si>
  <si>
    <t>Недвижимость</t>
  </si>
  <si>
    <t>Страховые полисы</t>
  </si>
  <si>
    <t>Авто, Техники, спецтехники</t>
  </si>
  <si>
    <t>Низкий</t>
  </si>
  <si>
    <t>Средний</t>
  </si>
  <si>
    <t>Высокий</t>
  </si>
  <si>
    <t>Очень высокий</t>
  </si>
  <si>
    <t>* не должно превышать 100%</t>
  </si>
  <si>
    <t>Залоговый вес *</t>
  </si>
  <si>
    <t>максимум 10</t>
  </si>
  <si>
    <t>Mulk turi</t>
  </si>
  <si>
    <t>БАЛЛ</t>
  </si>
  <si>
    <t>Ko'chmas mulk</t>
  </si>
  <si>
    <t>50</t>
  </si>
  <si>
    <t>Yengil avtotransport vositalari</t>
  </si>
  <si>
    <t>45</t>
  </si>
  <si>
    <t>Depozit, oltindan yasalgan zargarlik buyumlari</t>
  </si>
  <si>
    <t>Yuk transport vositalari</t>
  </si>
  <si>
    <t>35</t>
  </si>
  <si>
    <t>Maxsus texnika, avtobus va mikroavtobuslar</t>
  </si>
  <si>
    <t>Uskunalar</t>
  </si>
  <si>
    <t>30</t>
  </si>
  <si>
    <t>“Tadbirkorlikni rivojlantirish kompaniyasi” AJ kafilligi</t>
  </si>
  <si>
    <t>Kredit qaytmaslik xatari boʻyicha sugʻurta polisi</t>
  </si>
  <si>
    <t>Uchinchi shaxs kafilligi</t>
  </si>
  <si>
    <t>100</t>
  </si>
  <si>
    <t>Тўпланган балл</t>
  </si>
  <si>
    <t>2--10%</t>
  </si>
  <si>
    <t>3--1%</t>
  </si>
  <si>
    <t>2--21%</t>
  </si>
  <si>
    <t>2--20%</t>
  </si>
  <si>
    <t>2--1%</t>
  </si>
  <si>
    <t>3--21%</t>
  </si>
  <si>
    <t>3--20%</t>
  </si>
  <si>
    <t>3--10%</t>
  </si>
  <si>
    <t>мол-мулк гарови</t>
  </si>
  <si>
    <t>суғурта</t>
  </si>
  <si>
    <t>улуши</t>
  </si>
  <si>
    <t>тадбиркорлик ривож комп, 3 шахс</t>
  </si>
  <si>
    <t>1,3--21%</t>
  </si>
  <si>
    <t>1,3--20%</t>
  </si>
  <si>
    <t>1,3--10%</t>
  </si>
  <si>
    <t>1,3--1%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</si>
</sst>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dd/mm/yyyy;@"/>
    <numFmt numFmtId="165" formatCode="_-* #,##0.00\ _₽_-;\-* #,##0.00\ _₽_-;_-* &quot;-&quot;??\ _₽_-;_-@_-"/>
    <numFmt numFmtId="166" formatCode="#,##0.00;[Red]\(#,##0.00\)"/>
    <numFmt numFmtId="167" formatCode="_-* #,##0\ _₽_-;\-* #,##0\ _₽_-;_-* &quot;-&quot;??\ _₽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  <charset val="204"/>
    </font>
    <font>
      <b/>
      <sz val="13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0"/>
      <name val="MS Sans Serif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3"/>
      <color theme="1"/>
      <name val="Arial"/>
      <family val="2"/>
      <charset val="204"/>
    </font>
    <font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rgb="FF00B0F0"/>
      <name val="Calibri"/>
      <family val="2"/>
      <charset val="204"/>
      <scheme val="minor"/>
    </font>
    <font>
      <i/>
      <sz val="10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4"/>
      <color rgb="FF002060"/>
      <name val="Calibri"/>
      <family val="2"/>
      <charset val="204"/>
      <scheme val="minor"/>
    </font>
    <font>
      <sz val="11"/>
      <color theme="5" tint="0.39997558519241921"/>
      <name val="Calibri"/>
      <family val="2"/>
      <scheme val="minor"/>
    </font>
    <font>
      <sz val="48"/>
      <color rgb="FF00B0F0"/>
      <name val="Calibri"/>
      <family val="2"/>
      <scheme val="minor"/>
    </font>
    <font>
      <sz val="24"/>
      <color theme="9" tint="-0.499984740745262"/>
      <name val="Calibri"/>
      <family val="2"/>
      <scheme val="minor"/>
    </font>
    <font>
      <u/>
      <sz val="48"/>
      <color theme="0" tint="-0.499984740745262"/>
      <name val="Calibri"/>
      <family val="2"/>
      <charset val="204"/>
      <scheme val="minor"/>
    </font>
    <font>
      <sz val="11"/>
      <color theme="7" tint="0.59999389629810485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 style="thin">
        <color rgb="FF00B0F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52">
    <xf numFmtId="0" fontId="0" fillId="0" borderId="0" xfId="0"/>
    <xf numFmtId="3" fontId="9" fillId="5" borderId="4" xfId="1" applyNumberFormat="1" applyFont="1" applyFill="1" applyBorder="1" applyAlignment="1" applyProtection="1">
      <alignment vertical="center"/>
    </xf>
    <xf numFmtId="49" fontId="9" fillId="5" borderId="4" xfId="1" applyNumberFormat="1" applyFont="1" applyFill="1" applyBorder="1" applyAlignment="1" applyProtection="1">
      <alignment horizontal="center" vertical="center"/>
    </xf>
    <xf numFmtId="3" fontId="9" fillId="5" borderId="4" xfId="1" applyNumberFormat="1" applyFont="1" applyFill="1" applyBorder="1" applyAlignment="1" applyProtection="1">
      <alignment horizontal="center" vertical="center"/>
    </xf>
    <xf numFmtId="3" fontId="5" fillId="6" borderId="1" xfId="1" applyNumberFormat="1" applyFont="1" applyFill="1" applyBorder="1" applyAlignment="1">
      <alignment horizontal="center" vertical="center" wrapText="1"/>
    </xf>
    <xf numFmtId="3" fontId="5" fillId="5" borderId="1" xfId="1" applyNumberFormat="1" applyFont="1" applyFill="1" applyBorder="1" applyAlignment="1">
      <alignment horizontal="center" vertical="center"/>
    </xf>
    <xf numFmtId="3" fontId="13" fillId="5" borderId="13" xfId="1" applyNumberFormat="1" applyFont="1" applyFill="1" applyBorder="1" applyAlignment="1" applyProtection="1">
      <alignment horizontal="center" vertical="center"/>
    </xf>
    <xf numFmtId="3" fontId="9" fillId="5" borderId="14" xfId="1" applyNumberFormat="1" applyFont="1" applyFill="1" applyBorder="1" applyAlignment="1" applyProtection="1">
      <alignment horizontal="center" vertical="center"/>
    </xf>
    <xf numFmtId="3" fontId="9" fillId="5" borderId="14" xfId="1" applyNumberFormat="1" applyFont="1" applyFill="1" applyBorder="1" applyAlignment="1" applyProtection="1">
      <alignment vertical="center"/>
    </xf>
    <xf numFmtId="49" fontId="9" fillId="5" borderId="14" xfId="1" applyNumberFormat="1" applyFont="1" applyFill="1" applyBorder="1" applyAlignment="1" applyProtection="1">
      <alignment horizontal="center" vertical="center"/>
    </xf>
    <xf numFmtId="3" fontId="9" fillId="5" borderId="15" xfId="1" applyNumberFormat="1" applyFont="1" applyFill="1" applyBorder="1" applyAlignment="1" applyProtection="1">
      <alignment horizontal="center" vertical="center"/>
    </xf>
    <xf numFmtId="3" fontId="13" fillId="5" borderId="16" xfId="1" applyNumberFormat="1" applyFont="1" applyFill="1" applyBorder="1" applyAlignment="1" applyProtection="1">
      <alignment horizontal="center" vertical="center"/>
    </xf>
    <xf numFmtId="3" fontId="9" fillId="5" borderId="17" xfId="1" applyNumberFormat="1" applyFont="1" applyFill="1" applyBorder="1" applyAlignment="1" applyProtection="1">
      <alignment horizontal="center" vertical="center"/>
    </xf>
    <xf numFmtId="9" fontId="11" fillId="2" borderId="1" xfId="5" applyFont="1" applyFill="1" applyBorder="1" applyAlignment="1">
      <alignment horizontal="center" vertical="center"/>
    </xf>
    <xf numFmtId="3" fontId="13" fillId="5" borderId="18" xfId="1" applyNumberFormat="1" applyFont="1" applyFill="1" applyBorder="1" applyAlignment="1" applyProtection="1">
      <alignment horizontal="center" vertical="center"/>
    </xf>
    <xf numFmtId="3" fontId="9" fillId="5" borderId="7" xfId="1" applyNumberFormat="1" applyFont="1" applyFill="1" applyBorder="1" applyAlignment="1" applyProtection="1">
      <alignment horizontal="center" vertical="center"/>
    </xf>
    <xf numFmtId="3" fontId="9" fillId="5" borderId="7" xfId="1" applyNumberFormat="1" applyFont="1" applyFill="1" applyBorder="1" applyAlignment="1" applyProtection="1">
      <alignment vertical="center"/>
    </xf>
    <xf numFmtId="49" fontId="9" fillId="5" borderId="7" xfId="1" applyNumberFormat="1" applyFont="1" applyFill="1" applyBorder="1" applyAlignment="1" applyProtection="1">
      <alignment horizontal="center" vertical="center"/>
    </xf>
    <xf numFmtId="3" fontId="9" fillId="5" borderId="19" xfId="1" applyNumberFormat="1" applyFont="1" applyFill="1" applyBorder="1" applyAlignment="1" applyProtection="1">
      <alignment horizontal="center" vertical="center"/>
    </xf>
    <xf numFmtId="3" fontId="13" fillId="5" borderId="20" xfId="1" applyNumberFormat="1" applyFont="1" applyFill="1" applyBorder="1" applyAlignment="1" applyProtection="1">
      <alignment horizontal="center" vertical="center"/>
    </xf>
    <xf numFmtId="3" fontId="9" fillId="5" borderId="21" xfId="1" applyNumberFormat="1" applyFont="1" applyFill="1" applyBorder="1" applyAlignment="1" applyProtection="1">
      <alignment horizontal="center" vertical="center"/>
    </xf>
    <xf numFmtId="3" fontId="9" fillId="5" borderId="21" xfId="1" applyNumberFormat="1" applyFont="1" applyFill="1" applyBorder="1" applyAlignment="1" applyProtection="1">
      <alignment vertical="center"/>
    </xf>
    <xf numFmtId="49" fontId="9" fillId="5" borderId="21" xfId="1" applyNumberFormat="1" applyFont="1" applyFill="1" applyBorder="1" applyAlignment="1" applyProtection="1">
      <alignment horizontal="center" vertical="center"/>
    </xf>
    <xf numFmtId="3" fontId="9" fillId="2" borderId="22" xfId="1" applyNumberFormat="1" applyFont="1" applyFill="1" applyBorder="1" applyAlignment="1" applyProtection="1">
      <alignment horizontal="center" vertical="center"/>
    </xf>
    <xf numFmtId="0" fontId="0" fillId="10" borderId="0" xfId="0" applyFill="1"/>
    <xf numFmtId="0" fontId="0" fillId="12" borderId="0" xfId="0" applyFill="1"/>
    <xf numFmtId="0" fontId="18" fillId="8" borderId="1" xfId="1" applyFont="1" applyFill="1" applyBorder="1" applyAlignment="1" applyProtection="1">
      <alignment horizontal="left"/>
    </xf>
    <xf numFmtId="0" fontId="18" fillId="8" borderId="1" xfId="1" applyFont="1" applyFill="1" applyBorder="1" applyAlignment="1" applyProtection="1">
      <protection locked="0"/>
    </xf>
    <xf numFmtId="0" fontId="7" fillId="3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left" wrapText="1"/>
    </xf>
    <xf numFmtId="0" fontId="0" fillId="4" borderId="10" xfId="0" applyFill="1" applyBorder="1" applyAlignment="1">
      <alignment horizontal="left" wrapText="1"/>
    </xf>
    <xf numFmtId="3" fontId="5" fillId="11" borderId="1" xfId="1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/>
    </xf>
    <xf numFmtId="49" fontId="14" fillId="11" borderId="1" xfId="0" applyNumberFormat="1" applyFont="1" applyFill="1" applyBorder="1" applyAlignment="1">
      <alignment horizontal="center"/>
    </xf>
    <xf numFmtId="164" fontId="5" fillId="11" borderId="1" xfId="1" applyNumberFormat="1" applyFont="1" applyFill="1" applyBorder="1" applyAlignment="1" applyProtection="1">
      <alignment horizontal="center" vertical="center"/>
      <protection locked="0"/>
    </xf>
    <xf numFmtId="49" fontId="5" fillId="11" borderId="1" xfId="1" applyNumberFormat="1" applyFont="1" applyFill="1" applyBorder="1" applyAlignment="1">
      <alignment horizontal="center" vertical="center"/>
    </xf>
    <xf numFmtId="167" fontId="11" fillId="11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3" fontId="11" fillId="7" borderId="1" xfId="0" applyNumberFormat="1" applyFont="1" applyFill="1" applyBorder="1" applyAlignment="1">
      <alignment horizontal="center" vertical="center"/>
    </xf>
    <xf numFmtId="4" fontId="18" fillId="11" borderId="1" xfId="1" applyNumberFormat="1" applyFont="1" applyFill="1" applyBorder="1" applyAlignment="1" applyProtection="1">
      <alignment horizontal="right"/>
      <protection locked="0"/>
    </xf>
    <xf numFmtId="14" fontId="0" fillId="10" borderId="0" xfId="0" applyNumberFormat="1" applyFill="1" applyBorder="1"/>
    <xf numFmtId="0" fontId="0" fillId="10" borderId="0" xfId="0" applyFill="1" applyBorder="1"/>
    <xf numFmtId="0" fontId="21" fillId="9" borderId="28" xfId="0" applyFont="1" applyFill="1" applyBorder="1" applyAlignment="1">
      <alignment horizontal="center" vertical="center"/>
    </xf>
    <xf numFmtId="0" fontId="21" fillId="9" borderId="29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/>
    </xf>
    <xf numFmtId="0" fontId="0" fillId="2" borderId="26" xfId="0" applyFont="1" applyFill="1" applyBorder="1" applyAlignment="1">
      <alignment horizontal="center"/>
    </xf>
    <xf numFmtId="3" fontId="5" fillId="6" borderId="1" xfId="1" applyNumberFormat="1" applyFont="1" applyFill="1" applyBorder="1" applyAlignment="1">
      <alignment horizontal="center" vertical="center" wrapText="1"/>
    </xf>
    <xf numFmtId="43" fontId="0" fillId="11" borderId="9" xfId="11" applyFont="1" applyFill="1" applyBorder="1" applyAlignment="1">
      <alignment horizontal="center" vertical="center" wrapText="1"/>
    </xf>
    <xf numFmtId="43" fontId="0" fillId="11" borderId="12" xfId="11" applyFont="1" applyFill="1" applyBorder="1" applyAlignment="1">
      <alignment horizontal="center" vertical="center" wrapText="1"/>
    </xf>
    <xf numFmtId="0" fontId="14" fillId="13" borderId="42" xfId="0" applyFont="1" applyFill="1" applyBorder="1" applyAlignment="1">
      <alignment horizontal="center" vertical="center"/>
    </xf>
    <xf numFmtId="0" fontId="14" fillId="13" borderId="43" xfId="0" applyFont="1" applyFill="1" applyBorder="1" applyAlignment="1">
      <alignment horizontal="center"/>
    </xf>
    <xf numFmtId="0" fontId="14" fillId="13" borderId="43" xfId="0" applyFont="1" applyFill="1" applyBorder="1" applyAlignment="1">
      <alignment horizontal="center" vertical="center"/>
    </xf>
    <xf numFmtId="0" fontId="14" fillId="13" borderId="44" xfId="0" applyFont="1" applyFill="1" applyBorder="1" applyAlignment="1">
      <alignment horizontal="center" vertical="center"/>
    </xf>
    <xf numFmtId="9" fontId="0" fillId="2" borderId="1" xfId="12" applyFont="1" applyFill="1" applyBorder="1" applyAlignment="1">
      <alignment horizontal="center"/>
    </xf>
    <xf numFmtId="0" fontId="25" fillId="12" borderId="0" xfId="0" applyFont="1" applyFill="1"/>
    <xf numFmtId="0" fontId="26" fillId="14" borderId="28" xfId="0" applyFont="1" applyFill="1" applyBorder="1" applyAlignment="1">
      <alignment horizontal="center" vertical="center"/>
    </xf>
    <xf numFmtId="0" fontId="26" fillId="14" borderId="27" xfId="0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left" vertical="center"/>
    </xf>
    <xf numFmtId="0" fontId="27" fillId="14" borderId="30" xfId="0" applyFont="1" applyFill="1" applyBorder="1" applyAlignment="1">
      <alignment horizontal="left" vertical="center"/>
    </xf>
    <xf numFmtId="0" fontId="27" fillId="14" borderId="41" xfId="0" applyFont="1" applyFill="1" applyBorder="1" applyAlignment="1">
      <alignment horizontal="left" vertical="center" wrapText="1"/>
    </xf>
    <xf numFmtId="0" fontId="28" fillId="12" borderId="0" xfId="0" applyFont="1" applyFill="1"/>
    <xf numFmtId="0" fontId="27" fillId="14" borderId="8" xfId="0" applyFont="1" applyFill="1" applyBorder="1" applyAlignment="1">
      <alignment horizontal="left" vertical="center"/>
    </xf>
    <xf numFmtId="0" fontId="27" fillId="14" borderId="1" xfId="0" applyFont="1" applyFill="1" applyBorder="1" applyAlignment="1">
      <alignment horizontal="left" vertical="center" wrapText="1"/>
    </xf>
    <xf numFmtId="0" fontId="27" fillId="14" borderId="45" xfId="0" applyFont="1" applyFill="1" applyBorder="1" applyAlignment="1">
      <alignment horizontal="left" vertical="center"/>
    </xf>
    <xf numFmtId="0" fontId="27" fillId="14" borderId="32" xfId="0" applyFont="1" applyFill="1" applyBorder="1" applyAlignment="1">
      <alignment horizontal="left" vertical="center" wrapText="1"/>
    </xf>
    <xf numFmtId="0" fontId="27" fillId="14" borderId="41" xfId="0" applyFont="1" applyFill="1" applyBorder="1" applyAlignment="1">
      <alignment horizontal="center" vertical="center"/>
    </xf>
    <xf numFmtId="0" fontId="27" fillId="14" borderId="31" xfId="0" applyFont="1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27" fillId="14" borderId="32" xfId="0" applyFont="1" applyFill="1" applyBorder="1" applyAlignment="1">
      <alignment horizontal="center" vertical="center"/>
    </xf>
    <xf numFmtId="0" fontId="27" fillId="14" borderId="46" xfId="0" applyFont="1" applyFill="1" applyBorder="1" applyAlignment="1">
      <alignment horizontal="center" vertical="center"/>
    </xf>
    <xf numFmtId="9" fontId="27" fillId="11" borderId="41" xfId="12" applyFont="1" applyFill="1" applyBorder="1" applyAlignment="1">
      <alignment horizontal="center" vertical="center"/>
    </xf>
    <xf numFmtId="9" fontId="27" fillId="11" borderId="1" xfId="12" applyFont="1" applyFill="1" applyBorder="1" applyAlignment="1">
      <alignment horizontal="center" vertical="center"/>
    </xf>
    <xf numFmtId="9" fontId="27" fillId="11" borderId="32" xfId="12" applyFont="1" applyFill="1" applyBorder="1" applyAlignment="1">
      <alignment horizontal="center" vertical="center"/>
    </xf>
    <xf numFmtId="0" fontId="27" fillId="2" borderId="40" xfId="0" applyFont="1" applyFill="1" applyBorder="1" applyAlignment="1">
      <alignment horizontal="center" vertical="center"/>
    </xf>
    <xf numFmtId="9" fontId="27" fillId="2" borderId="40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23" fillId="2" borderId="39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2" borderId="26" xfId="0" applyFont="1" applyFill="1" applyBorder="1" applyAlignment="1">
      <alignment horizontal="center"/>
    </xf>
    <xf numFmtId="0" fontId="21" fillId="9" borderId="27" xfId="0" applyFont="1" applyFill="1" applyBorder="1" applyAlignment="1">
      <alignment horizontal="center" vertical="center"/>
    </xf>
    <xf numFmtId="0" fontId="21" fillId="9" borderId="28" xfId="0" applyFont="1" applyFill="1" applyBorder="1" applyAlignment="1">
      <alignment horizontal="center" vertical="center"/>
    </xf>
    <xf numFmtId="0" fontId="24" fillId="2" borderId="36" xfId="0" applyFont="1" applyFill="1" applyBorder="1" applyAlignment="1">
      <alignment horizontal="center" vertical="center"/>
    </xf>
    <xf numFmtId="0" fontId="22" fillId="2" borderId="33" xfId="0" applyFont="1" applyFill="1" applyBorder="1" applyAlignment="1">
      <alignment horizontal="center" vertical="center"/>
    </xf>
    <xf numFmtId="0" fontId="22" fillId="2" borderId="37" xfId="0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/>
    </xf>
    <xf numFmtId="0" fontId="22" fillId="2" borderId="38" xfId="0" applyFont="1" applyFill="1" applyBorder="1" applyAlignment="1">
      <alignment horizontal="center" vertical="center"/>
    </xf>
    <xf numFmtId="0" fontId="22" fillId="2" borderId="35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3" fontId="5" fillId="6" borderId="1" xfId="1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49" fontId="30" fillId="6" borderId="1" xfId="12" applyNumberFormat="1" applyFont="1" applyFill="1" applyBorder="1" applyAlignment="1" applyProtection="1">
      <alignment horizontal="center" vertical="center" wrapText="1"/>
    </xf>
    <xf numFmtId="0" fontId="29" fillId="6" borderId="1" xfId="12" applyNumberFormat="1" applyFont="1" applyFill="1" applyBorder="1" applyAlignment="1" applyProtection="1">
      <alignment horizontal="center" vertical="center" wrapText="1"/>
    </xf>
    <xf numFmtId="0" fontId="0" fillId="0" borderId="0" xfId="0" applyNumberFormat="1"/>
    <xf numFmtId="17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17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17" fontId="0" fillId="11" borderId="0" xfId="0" applyNumberFormat="1" applyFill="1" applyAlignment="1">
      <alignment horizontal="center"/>
    </xf>
    <xf numFmtId="0" fontId="0" fillId="11" borderId="0" xfId="0" applyFill="1"/>
    <xf numFmtId="0" fontId="29" fillId="16" borderId="1" xfId="12" applyNumberFormat="1" applyFont="1" applyFill="1" applyBorder="1" applyAlignment="1" applyProtection="1">
      <alignment horizontal="center" vertical="center" wrapText="1"/>
    </xf>
    <xf numFmtId="2" fontId="0" fillId="4" borderId="0" xfId="0" applyNumberFormat="1" applyFill="1"/>
    <xf numFmtId="2" fontId="31" fillId="6" borderId="0" xfId="0" applyNumberFormat="1" applyFont="1" applyFill="1"/>
    <xf numFmtId="2" fontId="0" fillId="17" borderId="0" xfId="0" applyNumberFormat="1" applyFill="1"/>
    <xf numFmtId="0" fontId="29" fillId="20" borderId="1" xfId="12" applyNumberFormat="1" applyFont="1" applyFill="1" applyBorder="1" applyAlignment="1" applyProtection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49" fontId="30" fillId="15" borderId="8" xfId="12" applyNumberFormat="1" applyFont="1" applyFill="1" applyBorder="1" applyAlignment="1" applyProtection="1">
      <alignment horizontal="center" vertical="center" wrapText="1"/>
    </xf>
    <xf numFmtId="49" fontId="30" fillId="6" borderId="9" xfId="12" applyNumberFormat="1" applyFont="1" applyFill="1" applyBorder="1" applyAlignment="1" applyProtection="1">
      <alignment horizontal="center" vertical="center" wrapText="1"/>
    </xf>
    <xf numFmtId="0" fontId="29" fillId="15" borderId="8" xfId="12" applyNumberFormat="1" applyFont="1" applyFill="1" applyBorder="1" applyAlignment="1" applyProtection="1">
      <alignment horizontal="center" vertical="center" wrapText="1"/>
    </xf>
    <xf numFmtId="0" fontId="29" fillId="6" borderId="9" xfId="12" applyNumberFormat="1" applyFont="1" applyFill="1" applyBorder="1" applyAlignment="1" applyProtection="1">
      <alignment horizontal="center" vertical="center" wrapText="1"/>
    </xf>
    <xf numFmtId="0" fontId="29" fillId="15" borderId="10" xfId="12" applyNumberFormat="1" applyFont="1" applyFill="1" applyBorder="1" applyAlignment="1" applyProtection="1">
      <alignment horizontal="center" vertical="center" wrapText="1"/>
    </xf>
    <xf numFmtId="0" fontId="29" fillId="20" borderId="11" xfId="12" applyNumberFormat="1" applyFont="1" applyFill="1" applyBorder="1" applyAlignment="1" applyProtection="1">
      <alignment horizontal="center" vertical="center" wrapText="1"/>
    </xf>
    <xf numFmtId="0" fontId="29" fillId="20" borderId="12" xfId="12" applyNumberFormat="1" applyFont="1" applyFill="1" applyBorder="1" applyAlignment="1" applyProtection="1">
      <alignment horizontal="center" vertical="center" wrapText="1"/>
    </xf>
    <xf numFmtId="0" fontId="29" fillId="20" borderId="9" xfId="12" applyNumberFormat="1" applyFont="1" applyFill="1" applyBorder="1" applyAlignment="1" applyProtection="1">
      <alignment horizontal="center" vertical="center" wrapText="1"/>
    </xf>
    <xf numFmtId="0" fontId="29" fillId="16" borderId="11" xfId="12" applyNumberFormat="1" applyFont="1" applyFill="1" applyBorder="1" applyAlignment="1" applyProtection="1">
      <alignment horizontal="center" vertical="center" wrapText="1"/>
    </xf>
    <xf numFmtId="0" fontId="29" fillId="16" borderId="12" xfId="12" applyNumberFormat="1" applyFont="1" applyFill="1" applyBorder="1" applyAlignment="1" applyProtection="1">
      <alignment horizontal="center" vertical="center" wrapText="1"/>
    </xf>
    <xf numFmtId="0" fontId="29" fillId="16" borderId="9" xfId="12" applyNumberFormat="1" applyFont="1" applyFill="1" applyBorder="1" applyAlignment="1" applyProtection="1">
      <alignment horizontal="center" vertical="center" wrapText="1"/>
    </xf>
    <xf numFmtId="3" fontId="29" fillId="0" borderId="47" xfId="1" applyNumberFormat="1" applyFont="1" applyFill="1" applyBorder="1" applyAlignment="1" applyProtection="1">
      <alignment vertical="center" wrapText="1"/>
    </xf>
    <xf numFmtId="3" fontId="29" fillId="0" borderId="48" xfId="1" applyNumberFormat="1" applyFont="1" applyFill="1" applyBorder="1" applyAlignment="1" applyProtection="1">
      <alignment vertical="center" wrapText="1"/>
    </xf>
    <xf numFmtId="3" fontId="30" fillId="15" borderId="49" xfId="1" applyNumberFormat="1" applyFont="1" applyFill="1" applyBorder="1" applyAlignment="1" applyProtection="1">
      <alignment horizontal="center" vertical="center" wrapText="1"/>
    </xf>
    <xf numFmtId="3" fontId="30" fillId="15" borderId="50" xfId="1" applyNumberFormat="1" applyFont="1" applyFill="1" applyBorder="1" applyAlignment="1" applyProtection="1">
      <alignment horizontal="center" vertical="center" wrapText="1"/>
    </xf>
    <xf numFmtId="0" fontId="29" fillId="6" borderId="11" xfId="12" applyNumberFormat="1" applyFont="1" applyFill="1" applyBorder="1" applyAlignment="1" applyProtection="1">
      <alignment horizontal="center" vertical="center" wrapText="1"/>
    </xf>
    <xf numFmtId="0" fontId="29" fillId="6" borderId="12" xfId="12" applyNumberFormat="1" applyFont="1" applyFill="1" applyBorder="1" applyAlignment="1" applyProtection="1">
      <alignment horizontal="center" vertical="center" wrapText="1"/>
    </xf>
    <xf numFmtId="2" fontId="0" fillId="3" borderId="0" xfId="0" applyNumberFormat="1" applyFill="1"/>
    <xf numFmtId="2" fontId="0" fillId="19" borderId="0" xfId="0" applyNumberFormat="1" applyFill="1"/>
    <xf numFmtId="2" fontId="31" fillId="18" borderId="0" xfId="0" applyNumberFormat="1" applyFont="1" applyFill="1"/>
  </cellXfs>
  <cellStyles count="13">
    <cellStyle name="Comma_CashFlow" xfId="10"/>
    <cellStyle name="Обычный" xfId="0" builtinId="0"/>
    <cellStyle name="Обычный 2" xfId="3"/>
    <cellStyle name="Обычный 3" xfId="6"/>
    <cellStyle name="Обычный 4" xfId="7"/>
    <cellStyle name="Обычный 5" xfId="2"/>
    <cellStyle name="Обычный_Заключение-Номос version 6" xfId="1"/>
    <cellStyle name="Процентный" xfId="12" builtinId="5"/>
    <cellStyle name="Процентный 2" xfId="9"/>
    <cellStyle name="Процентный 3" xfId="5"/>
    <cellStyle name="Финансовый" xfId="11" builtinId="3"/>
    <cellStyle name="Финансовый 2" xfId="8"/>
    <cellStyle name="Финансовый 3" xfId="4"/>
  </cellStyles>
  <dxfs count="0"/>
  <tableStyles count="0" defaultTableStyle="TableStyleMedium2" defaultPivotStyle="PivotStyleLight16"/>
  <colors>
    <mruColors>
      <color rgb="FFE0E3BF"/>
      <color rgb="FF00AE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mber.uz/oz/contractor-rat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zoomScale="190" zoomScaleNormal="190" workbookViewId="0">
      <selection activeCell="B7" sqref="B7:C7"/>
    </sheetView>
  </sheetViews>
  <sheetFormatPr defaultRowHeight="15" x14ac:dyDescent="0.25"/>
  <cols>
    <col min="1" max="1" width="17.5703125" customWidth="1"/>
    <col min="2" max="2" width="13.140625" customWidth="1"/>
    <col min="3" max="3" width="10" customWidth="1"/>
    <col min="4" max="4" width="20.5703125" bestFit="1" customWidth="1"/>
    <col min="5" max="5" width="10.28515625" bestFit="1" customWidth="1"/>
  </cols>
  <sheetData>
    <row r="1" spans="1:22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 ht="19.5" thickBot="1" x14ac:dyDescent="0.35">
      <c r="A2" s="24"/>
      <c r="B2" s="89" t="s">
        <v>60</v>
      </c>
      <c r="C2" s="90"/>
      <c r="D2" s="90"/>
      <c r="E2" s="90"/>
      <c r="F2" s="90"/>
      <c r="G2" s="90"/>
      <c r="H2" s="90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ht="15.75" thickBot="1" x14ac:dyDescent="0.3">
      <c r="A3" s="24"/>
      <c r="B3" s="92" t="s">
        <v>0</v>
      </c>
      <c r="C3" s="93"/>
      <c r="D3" s="46" t="s">
        <v>32</v>
      </c>
      <c r="E3" s="47" t="s">
        <v>1</v>
      </c>
      <c r="F3" s="24"/>
      <c r="G3" s="94" t="s">
        <v>63</v>
      </c>
      <c r="H3" s="95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 spans="1:22" x14ac:dyDescent="0.25">
      <c r="A4" s="24"/>
      <c r="B4" s="91" t="s">
        <v>31</v>
      </c>
      <c r="C4" s="91"/>
      <c r="D4" s="80">
        <v>400</v>
      </c>
      <c r="E4" s="48">
        <f>IF(ISNA(D4),0,
  IF(D4&gt;=401,100,
    IF(D4&gt;=301,80,
      IF(D4&gt;=201,60,
        IF(D4&gt;=101,20,
          IF(D4&gt;=0,0,0))))))</f>
        <v>80</v>
      </c>
      <c r="F4" s="24" t="s">
        <v>61</v>
      </c>
      <c r="G4" s="96"/>
      <c r="H4" s="97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4"/>
      <c r="B5" s="100" t="s">
        <v>2</v>
      </c>
      <c r="C5" s="101"/>
      <c r="D5" s="81">
        <v>1000000000</v>
      </c>
      <c r="E5" s="48">
        <f>IF(ISNA(D5),0,
   IF(D5&gt;=100000000000,0,
      IF(D5&gt;=10000000000,50,
         IF(D5&gt;=5000000000,70,
            IF(D5&gt;=1,100,0)))))</f>
        <v>100</v>
      </c>
      <c r="F5" s="24" t="s">
        <v>61</v>
      </c>
      <c r="G5" s="96"/>
      <c r="H5" s="97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 x14ac:dyDescent="0.25">
      <c r="A6" s="24"/>
      <c r="B6" s="100" t="s">
        <v>35</v>
      </c>
      <c r="C6" s="101"/>
      <c r="D6" s="82">
        <f>LGD!G7</f>
        <v>10</v>
      </c>
      <c r="E6" s="48">
        <f>IF(ISNA(LGD!G7),0,
  IF(LGD!G7=10,100,
    IF(LGD!G7&gt;=8,60,
      IF(LGD!G7&gt;=6,40,
        IF(LGD!G7&gt;=4,10,
          IF(LGD!G7&gt;=0,0,0))))))</f>
        <v>100</v>
      </c>
      <c r="F6" s="24" t="s">
        <v>61</v>
      </c>
      <c r="G6" s="96"/>
      <c r="H6" s="97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x14ac:dyDescent="0.25">
      <c r="A7" s="24"/>
      <c r="B7" s="86" t="s">
        <v>30</v>
      </c>
      <c r="C7" s="86"/>
      <c r="D7" s="83">
        <f>Оборотка!I21</f>
        <v>1885574465.2780218</v>
      </c>
      <c r="E7" s="48">
        <f>IF(ISNA(D7),0,
  IF(D7&gt;=5000000000,100,
    IF(D7&gt;=4000000000,60,
        IF(D7&gt;=3000000000,40,
IF(D7&gt;=2000000000,20,
          IF(D7&gt;=0,0,0))))))</f>
        <v>0</v>
      </c>
      <c r="F7" s="24" t="s">
        <v>61</v>
      </c>
      <c r="G7" s="96"/>
      <c r="H7" s="97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x14ac:dyDescent="0.25">
      <c r="A8" s="24"/>
      <c r="B8" s="86" t="s">
        <v>33</v>
      </c>
      <c r="C8" s="86"/>
      <c r="D8" s="57">
        <f>Оборотка!I26</f>
        <v>0</v>
      </c>
      <c r="E8" s="48">
        <f>IF(ISNA(D8),0,
IF(D8&gt;=2,10,
IF(D8&gt;=1,20,
IF(D8&gt;=0.5,50,
IF(D8&gt;=0.3,80,
IF(D8&gt;=0.1,90,
IF(D8&gt;=0,100,0)))))))</f>
        <v>100</v>
      </c>
      <c r="F8" s="24" t="s">
        <v>61</v>
      </c>
      <c r="G8" s="98"/>
      <c r="H8" s="99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ht="15" customHeight="1" x14ac:dyDescent="0.25">
      <c r="A9" s="24"/>
      <c r="B9" s="86" t="s">
        <v>65</v>
      </c>
      <c r="C9" s="86"/>
      <c r="D9" s="84">
        <f>(Баланс!D6+Баланс!D7)/Баланс!D10</f>
        <v>2.4535123966942147</v>
      </c>
      <c r="E9" s="48">
        <f>IF(ISNA(D9),0,
  IF(D9&gt;=2,70,
    IF(D9&gt;=0.8,100,
      IF(D9&gt;=0.5,40,
        IF(D9&gt;=0.4,30,
          IF(D9&gt;=0,0,0))))))</f>
        <v>70</v>
      </c>
      <c r="F9" s="24" t="s">
        <v>61</v>
      </c>
      <c r="G9" s="87">
        <f ca="1">+SUM(E4:E13)</f>
        <v>850</v>
      </c>
      <c r="H9" s="87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15" customHeight="1" x14ac:dyDescent="0.25">
      <c r="A10" s="24"/>
      <c r="B10" s="86" t="s">
        <v>14</v>
      </c>
      <c r="C10" s="86"/>
      <c r="D10" s="84">
        <f>(Баланс!D8-Баланс!D9)/(Баланс!D11-Баланс!D4)</f>
        <v>0.87492561723261042</v>
      </c>
      <c r="E10" s="48">
        <f>IF(OR(ISNA(D10),D10="",
NOT(ISNUMBER(D10))),0,
IF(D10&lt;0.5,0,100))</f>
        <v>100</v>
      </c>
      <c r="F10" s="24" t="s">
        <v>61</v>
      </c>
      <c r="G10" s="88"/>
      <c r="H10" s="88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5" customHeight="1" x14ac:dyDescent="0.25">
      <c r="A11" s="24"/>
      <c r="B11" s="86" t="s">
        <v>15</v>
      </c>
      <c r="C11" s="86"/>
      <c r="D11" s="84">
        <f>(Баланс!D4+Баланс!D6+Баланс!D7)/Баланс!D10</f>
        <v>2.4535123966942147</v>
      </c>
      <c r="E11" s="49">
        <f>IF(ISNA(D11),0,
  IF(D11&gt;=3,1,
    IF(D11&gt;=1.5,100,
      IF(D11&gt;=1,60,
        IF(D11&gt;=0.5,10,
          IF(D11&gt;=0,0,0))))))</f>
        <v>100</v>
      </c>
      <c r="F11" s="24" t="s">
        <v>61</v>
      </c>
      <c r="G11" s="88"/>
      <c r="H11" s="88"/>
      <c r="I11" s="24"/>
      <c r="J11" s="24"/>
      <c r="K11" s="24"/>
      <c r="L11" s="44"/>
      <c r="M11" s="44"/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15" customHeight="1" x14ac:dyDescent="0.25">
      <c r="A12" s="24"/>
      <c r="B12" s="86" t="s">
        <v>64</v>
      </c>
      <c r="C12" s="86"/>
      <c r="D12" s="79">
        <v>86</v>
      </c>
      <c r="E12" s="48">
        <f>IF(ISNA(D12),0,
IF(D12&gt;=86,100,
IF(D12&gt;=56,70,
IF(D12&gt;=26,50,
IF(D12&gt;=0,0,0)))))</f>
        <v>100</v>
      </c>
      <c r="F12" s="24" t="s">
        <v>61</v>
      </c>
      <c r="G12" s="88"/>
      <c r="H12" s="88"/>
      <c r="I12" s="24"/>
      <c r="J12" s="24"/>
      <c r="K12" s="24"/>
      <c r="L12" s="45"/>
      <c r="M12" s="45"/>
      <c r="N12" s="24"/>
      <c r="O12" s="24"/>
      <c r="P12" s="24"/>
      <c r="Q12" s="24"/>
      <c r="R12" s="24"/>
      <c r="S12" s="24"/>
      <c r="T12" s="24"/>
      <c r="U12" s="24"/>
      <c r="V12" s="24"/>
    </row>
    <row r="13" spans="1:22" ht="15" customHeight="1" x14ac:dyDescent="0.25">
      <c r="A13" s="24"/>
      <c r="B13" s="86" t="s">
        <v>70</v>
      </c>
      <c r="C13" s="86"/>
      <c r="D13" s="79">
        <v>1990</v>
      </c>
      <c r="E13" s="49">
        <f ca="1">IF(ISNA(D13),0,
IF(YEAR(TODAY())-D13&gt;=5,100,
IF(YEAR(TODAY())-D13&gt;=4,80,
IF(YEAR(TODAY())-D13&gt;=3,60,
IF(YEAR(TODAY())-D13&gt;=2,40,
IF(YEAR(TODAY())-D13&gt;=1,20,0))))))</f>
        <v>100</v>
      </c>
      <c r="F13" s="24" t="s">
        <v>61</v>
      </c>
      <c r="G13" s="88"/>
      <c r="H13" s="88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ht="1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ht="1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ht="1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2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2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2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2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22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spans="1:22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2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2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spans="1:22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spans="1:22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</sheetData>
  <mergeCells count="14">
    <mergeCell ref="B13:C13"/>
    <mergeCell ref="G9:H13"/>
    <mergeCell ref="B12:C12"/>
    <mergeCell ref="B2:H2"/>
    <mergeCell ref="B10:C10"/>
    <mergeCell ref="B11:C11"/>
    <mergeCell ref="B9:C9"/>
    <mergeCell ref="B4:C4"/>
    <mergeCell ref="B3:C3"/>
    <mergeCell ref="G3:H8"/>
    <mergeCell ref="B7:C7"/>
    <mergeCell ref="B8:C8"/>
    <mergeCell ref="B5:C5"/>
    <mergeCell ref="B6:C6"/>
  </mergeCells>
  <hyperlinks>
    <hyperlink ref="B12:C12" r:id="rId1" display="Chamber.uz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zoomScale="130" zoomScaleNormal="130" workbookViewId="0">
      <selection activeCell="B7" sqref="B7"/>
    </sheetView>
  </sheetViews>
  <sheetFormatPr defaultRowHeight="15" x14ac:dyDescent="0.25"/>
  <cols>
    <col min="1" max="1" width="59.140625" customWidth="1"/>
    <col min="2" max="2" width="35.7109375" customWidth="1"/>
    <col min="3" max="3" width="7.85546875" bestFit="1" customWidth="1"/>
    <col min="4" max="4" width="14.85546875" customWidth="1"/>
    <col min="5" max="5" width="11.140625" customWidth="1"/>
  </cols>
  <sheetData>
    <row r="1" spans="1:26" ht="18" customHeight="1" thickBot="1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8.75" x14ac:dyDescent="0.3">
      <c r="A2" s="25"/>
      <c r="B2" s="102" t="s">
        <v>59</v>
      </c>
      <c r="C2" s="103"/>
      <c r="D2" s="10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30" x14ac:dyDescent="0.25">
      <c r="A3" s="25"/>
      <c r="B3" s="28" t="s">
        <v>6</v>
      </c>
      <c r="C3" s="29" t="s">
        <v>7</v>
      </c>
      <c r="D3" s="30" t="s">
        <v>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30" x14ac:dyDescent="0.25">
      <c r="A4" s="25"/>
      <c r="B4" s="33" t="s">
        <v>16</v>
      </c>
      <c r="C4" s="31" t="s">
        <v>17</v>
      </c>
      <c r="D4" s="51">
        <v>0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30" x14ac:dyDescent="0.25">
      <c r="A5" s="25"/>
      <c r="B5" s="33" t="s">
        <v>11</v>
      </c>
      <c r="C5" s="31" t="s">
        <v>3</v>
      </c>
      <c r="D5" s="51">
        <v>2358000.89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45" x14ac:dyDescent="0.25">
      <c r="A6" s="25"/>
      <c r="B6" s="33" t="s">
        <v>10</v>
      </c>
      <c r="C6" s="31" t="s">
        <v>4</v>
      </c>
      <c r="D6" s="51">
        <v>0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30" x14ac:dyDescent="0.25">
      <c r="A7" s="25"/>
      <c r="B7" s="33" t="s">
        <v>9</v>
      </c>
      <c r="C7" s="31" t="s">
        <v>5</v>
      </c>
      <c r="D7" s="51">
        <v>76000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30" x14ac:dyDescent="0.25">
      <c r="A8" s="25"/>
      <c r="B8" s="33" t="s">
        <v>18</v>
      </c>
      <c r="C8" s="31" t="s">
        <v>19</v>
      </c>
      <c r="D8" s="51">
        <v>4920582.45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30" x14ac:dyDescent="0.25">
      <c r="A9" s="25"/>
      <c r="B9" s="33" t="s">
        <v>22</v>
      </c>
      <c r="C9" s="31" t="s">
        <v>20</v>
      </c>
      <c r="D9" s="51">
        <v>0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45" x14ac:dyDescent="0.25">
      <c r="A10" s="25"/>
      <c r="B10" s="33" t="s">
        <v>12</v>
      </c>
      <c r="C10" s="31" t="s">
        <v>13</v>
      </c>
      <c r="D10" s="51">
        <v>30976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30.75" thickBot="1" x14ac:dyDescent="0.3">
      <c r="A11" s="25"/>
      <c r="B11" s="34" t="s">
        <v>23</v>
      </c>
      <c r="C11" s="32" t="s">
        <v>21</v>
      </c>
      <c r="D11" s="52">
        <v>5624000.8899999997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"/>
  <sheetViews>
    <sheetView zoomScale="115" zoomScaleNormal="115" workbookViewId="0">
      <selection activeCell="H26" sqref="H26"/>
    </sheetView>
  </sheetViews>
  <sheetFormatPr defaultRowHeight="15" x14ac:dyDescent="0.25"/>
  <cols>
    <col min="1" max="1" width="7.5703125" customWidth="1"/>
    <col min="2" max="3" width="18.85546875" customWidth="1"/>
    <col min="4" max="5" width="14.85546875" customWidth="1"/>
    <col min="6" max="6" width="17.28515625" customWidth="1"/>
    <col min="7" max="8" width="22.85546875" customWidth="1"/>
    <col min="9" max="9" width="22.140625" customWidth="1"/>
    <col min="11" max="11" width="16.7109375" bestFit="1" customWidth="1"/>
    <col min="12" max="12" width="11" bestFit="1" customWidth="1"/>
  </cols>
  <sheetData>
    <row r="1" spans="1:26" ht="23.25" x14ac:dyDescent="0.35">
      <c r="A1" s="25"/>
      <c r="B1" s="105" t="s">
        <v>40</v>
      </c>
      <c r="C1" s="105"/>
      <c r="D1" s="105"/>
      <c r="E1" s="105"/>
      <c r="F1" s="105"/>
      <c r="G1" s="105"/>
      <c r="H1" s="105"/>
      <c r="I1" s="10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3" customHeight="1" x14ac:dyDescent="0.25">
      <c r="A2" s="25"/>
      <c r="B2" s="109" t="s">
        <v>34</v>
      </c>
      <c r="C2" s="109"/>
      <c r="D2" s="109"/>
      <c r="E2" s="109"/>
      <c r="F2" s="109"/>
      <c r="G2" s="109"/>
      <c r="H2" s="109"/>
      <c r="I2" s="109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66" customHeight="1" x14ac:dyDescent="0.25">
      <c r="A3" s="25"/>
      <c r="B3" s="50" t="s">
        <v>36</v>
      </c>
      <c r="C3" s="4" t="s">
        <v>38</v>
      </c>
      <c r="D3" s="109" t="s">
        <v>25</v>
      </c>
      <c r="E3" s="109"/>
      <c r="F3" s="4" t="s">
        <v>26</v>
      </c>
      <c r="G3" s="4" t="s">
        <v>27</v>
      </c>
      <c r="H3" s="4" t="s">
        <v>28</v>
      </c>
      <c r="I3" s="4" t="s">
        <v>29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6.5" x14ac:dyDescent="0.25">
      <c r="A4" s="25"/>
      <c r="B4" s="36" t="s">
        <v>37</v>
      </c>
      <c r="C4" s="37" t="s">
        <v>39</v>
      </c>
      <c r="D4" s="38">
        <v>45435</v>
      </c>
      <c r="E4" s="38">
        <v>45799</v>
      </c>
      <c r="F4" s="39" t="s">
        <v>24</v>
      </c>
      <c r="G4" s="35">
        <v>1905046700</v>
      </c>
      <c r="H4" s="35">
        <v>1906525292.6700001</v>
      </c>
      <c r="I4" s="5">
        <f>IFERROR(H4/((E4-D4)/30),0)</f>
        <v>157131205.43983519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6.5" x14ac:dyDescent="0.25">
      <c r="A5" s="25"/>
      <c r="B5" s="36" t="s">
        <v>37</v>
      </c>
      <c r="C5" s="37" t="s">
        <v>39</v>
      </c>
      <c r="D5" s="38">
        <v>45435</v>
      </c>
      <c r="E5" s="38">
        <v>45799</v>
      </c>
      <c r="F5" s="39" t="s">
        <v>24</v>
      </c>
      <c r="G5" s="35">
        <v>1905046700</v>
      </c>
      <c r="H5" s="35">
        <v>1906525292.6700001</v>
      </c>
      <c r="I5" s="5">
        <f t="shared" ref="I5:I6" si="0">IFERROR(H5/((E5-D5)/30),0)</f>
        <v>157131205.43983519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6.5" x14ac:dyDescent="0.25">
      <c r="A6" s="25"/>
      <c r="B6" s="36" t="s">
        <v>37</v>
      </c>
      <c r="C6" s="37" t="s">
        <v>39</v>
      </c>
      <c r="D6" s="38">
        <v>45435</v>
      </c>
      <c r="E6" s="38">
        <v>45799</v>
      </c>
      <c r="F6" s="39" t="s">
        <v>24</v>
      </c>
      <c r="G6" s="35">
        <v>1905046700</v>
      </c>
      <c r="H6" s="35">
        <v>1906525292.6700001</v>
      </c>
      <c r="I6" s="5">
        <f t="shared" si="0"/>
        <v>157131205.43983519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6.5" x14ac:dyDescent="0.25">
      <c r="A7" s="25"/>
      <c r="B7" s="36" t="s">
        <v>37</v>
      </c>
      <c r="C7" s="37" t="s">
        <v>39</v>
      </c>
      <c r="D7" s="38">
        <v>45435</v>
      </c>
      <c r="E7" s="38">
        <v>45799</v>
      </c>
      <c r="F7" s="39" t="s">
        <v>24</v>
      </c>
      <c r="G7" s="35">
        <v>1905046700</v>
      </c>
      <c r="H7" s="35">
        <v>1906525292.6700001</v>
      </c>
      <c r="I7" s="5">
        <f t="shared" ref="I7:I10" si="1">IFERROR(H7/((E7-D7)/30),0)</f>
        <v>157131205.43983519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6.5" x14ac:dyDescent="0.25">
      <c r="A8" s="25"/>
      <c r="B8" s="36" t="s">
        <v>37</v>
      </c>
      <c r="C8" s="37" t="s">
        <v>39</v>
      </c>
      <c r="D8" s="38">
        <v>45435</v>
      </c>
      <c r="E8" s="38">
        <v>45799</v>
      </c>
      <c r="F8" s="39" t="s">
        <v>24</v>
      </c>
      <c r="G8" s="35">
        <v>1905046700</v>
      </c>
      <c r="H8" s="35">
        <v>1906525292.6700001</v>
      </c>
      <c r="I8" s="5">
        <f t="shared" si="1"/>
        <v>157131205.43983519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6.5" x14ac:dyDescent="0.25">
      <c r="A9" s="25"/>
      <c r="B9" s="36" t="s">
        <v>37</v>
      </c>
      <c r="C9" s="37" t="s">
        <v>39</v>
      </c>
      <c r="D9" s="38">
        <v>45435</v>
      </c>
      <c r="E9" s="38">
        <v>45799</v>
      </c>
      <c r="F9" s="39" t="s">
        <v>24</v>
      </c>
      <c r="G9" s="35">
        <v>1905046700</v>
      </c>
      <c r="H9" s="35">
        <v>1906525292.6700001</v>
      </c>
      <c r="I9" s="5">
        <f t="shared" si="1"/>
        <v>157131205.43983519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6.5" x14ac:dyDescent="0.25">
      <c r="A10" s="25"/>
      <c r="B10" s="36" t="s">
        <v>37</v>
      </c>
      <c r="C10" s="37" t="s">
        <v>39</v>
      </c>
      <c r="D10" s="38">
        <v>45435</v>
      </c>
      <c r="E10" s="38">
        <v>45799</v>
      </c>
      <c r="F10" s="39" t="s">
        <v>24</v>
      </c>
      <c r="G10" s="35">
        <v>1905046700</v>
      </c>
      <c r="H10" s="35">
        <v>1906525292.6700001</v>
      </c>
      <c r="I10" s="5">
        <f t="shared" si="1"/>
        <v>157131205.43983519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6.5" x14ac:dyDescent="0.25">
      <c r="A11" s="25"/>
      <c r="B11" s="36" t="s">
        <v>37</v>
      </c>
      <c r="C11" s="37" t="s">
        <v>66</v>
      </c>
      <c r="D11" s="38">
        <v>45436</v>
      </c>
      <c r="E11" s="38">
        <v>45800</v>
      </c>
      <c r="F11" s="39" t="s">
        <v>24</v>
      </c>
      <c r="G11" s="35">
        <v>1905046700</v>
      </c>
      <c r="H11" s="35">
        <v>1906525292.6700001</v>
      </c>
      <c r="I11" s="5">
        <f t="shared" ref="I11:I15" si="2">IFERROR(H11/((E11-D11)/30),0)</f>
        <v>157131205.43983519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6.5" x14ac:dyDescent="0.25">
      <c r="A12" s="25"/>
      <c r="B12" s="36" t="s">
        <v>37</v>
      </c>
      <c r="C12" s="37" t="s">
        <v>67</v>
      </c>
      <c r="D12" s="38">
        <v>45437</v>
      </c>
      <c r="E12" s="38">
        <v>45801</v>
      </c>
      <c r="F12" s="39" t="s">
        <v>24</v>
      </c>
      <c r="G12" s="35">
        <v>1905046700</v>
      </c>
      <c r="H12" s="35">
        <v>1906525292.6700001</v>
      </c>
      <c r="I12" s="5">
        <f t="shared" si="2"/>
        <v>157131205.43983519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6.5" x14ac:dyDescent="0.25">
      <c r="A13" s="25"/>
      <c r="B13" s="36" t="s">
        <v>37</v>
      </c>
      <c r="C13" s="37" t="s">
        <v>68</v>
      </c>
      <c r="D13" s="38">
        <v>45438</v>
      </c>
      <c r="E13" s="38">
        <v>45802</v>
      </c>
      <c r="F13" s="39" t="s">
        <v>24</v>
      </c>
      <c r="G13" s="35">
        <v>1905046700</v>
      </c>
      <c r="H13" s="35">
        <v>1906525292.6700001</v>
      </c>
      <c r="I13" s="5">
        <f t="shared" si="2"/>
        <v>157131205.43983519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6.5" x14ac:dyDescent="0.25">
      <c r="A14" s="25"/>
      <c r="B14" s="36" t="s">
        <v>37</v>
      </c>
      <c r="C14" s="37" t="s">
        <v>69</v>
      </c>
      <c r="D14" s="38">
        <v>45439</v>
      </c>
      <c r="E14" s="38">
        <v>45803</v>
      </c>
      <c r="F14" s="39" t="s">
        <v>24</v>
      </c>
      <c r="G14" s="35">
        <v>1905046700</v>
      </c>
      <c r="H14" s="35">
        <v>1906525292.6700001</v>
      </c>
      <c r="I14" s="5">
        <f t="shared" si="2"/>
        <v>157131205.43983519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6.5" x14ac:dyDescent="0.25">
      <c r="A15" s="25"/>
      <c r="B15" s="36" t="s">
        <v>37</v>
      </c>
      <c r="C15" s="37" t="s">
        <v>39</v>
      </c>
      <c r="D15" s="38">
        <v>45435</v>
      </c>
      <c r="E15" s="38">
        <v>45799</v>
      </c>
      <c r="F15" s="39" t="s">
        <v>24</v>
      </c>
      <c r="G15" s="35">
        <v>1905046700</v>
      </c>
      <c r="H15" s="35">
        <v>1906525292.6700001</v>
      </c>
      <c r="I15" s="5">
        <f t="shared" si="2"/>
        <v>157131205.43983519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thickBo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75" x14ac:dyDescent="0.25">
      <c r="A17" s="25"/>
      <c r="B17" s="6" t="s">
        <v>41</v>
      </c>
      <c r="C17" s="7"/>
      <c r="D17" s="8"/>
      <c r="E17" s="8"/>
      <c r="F17" s="9" t="s">
        <v>24</v>
      </c>
      <c r="G17" s="7">
        <f>SUMIF(F4:F16,F17,G4:G16)</f>
        <v>22860560400</v>
      </c>
      <c r="H17" s="7">
        <f>SUMIF(F4:F16,F17,H4:H16)</f>
        <v>22878303512.040001</v>
      </c>
      <c r="I17" s="10">
        <f>SUM(I4:I15)</f>
        <v>1885574465.2780218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x14ac:dyDescent="0.25">
      <c r="A18" s="25"/>
      <c r="B18" s="11" t="s">
        <v>42</v>
      </c>
      <c r="C18" s="3"/>
      <c r="D18" s="1"/>
      <c r="E18" s="1"/>
      <c r="F18" s="2" t="s">
        <v>43</v>
      </c>
      <c r="G18" s="3">
        <f>SUMIF(F4:F16,F18,G4:G16)</f>
        <v>0</v>
      </c>
      <c r="H18" s="3">
        <f>SUMIF(F4:F16,F18,H4:H16)</f>
        <v>0</v>
      </c>
      <c r="I18" s="12">
        <f>SUMIF(F4:F16,F18,I4:I16)</f>
        <v>0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75" x14ac:dyDescent="0.25">
      <c r="A19" s="25"/>
      <c r="B19" s="11" t="s">
        <v>44</v>
      </c>
      <c r="C19" s="3"/>
      <c r="D19" s="1"/>
      <c r="E19" s="1"/>
      <c r="F19" s="2" t="s">
        <v>45</v>
      </c>
      <c r="G19" s="3">
        <f>SUMIF(F4:F16,F19,G4:G16)</f>
        <v>0</v>
      </c>
      <c r="H19" s="3">
        <f>SUMIF(F4:F16,F19,H4:H16)</f>
        <v>0</v>
      </c>
      <c r="I19" s="12">
        <f>SUMIF(F4:F16,F19,I4:I16)</f>
        <v>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6.5" thickBot="1" x14ac:dyDescent="0.3">
      <c r="A20" s="25"/>
      <c r="B20" s="14" t="s">
        <v>46</v>
      </c>
      <c r="C20" s="15"/>
      <c r="D20" s="16"/>
      <c r="E20" s="16"/>
      <c r="F20" s="17" t="s">
        <v>47</v>
      </c>
      <c r="G20" s="15">
        <f>SUMIF(F4:F16,F20,G4:G16)</f>
        <v>0</v>
      </c>
      <c r="H20" s="15">
        <f>SUMIF(F4:F16,F20,H4:H16)</f>
        <v>0</v>
      </c>
      <c r="I20" s="18">
        <f>SUMIF(F4:F16,F20,I4:I16)</f>
        <v>0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6.5" thickBot="1" x14ac:dyDescent="0.3">
      <c r="A21" s="25"/>
      <c r="B21" s="19" t="s">
        <v>41</v>
      </c>
      <c r="C21" s="20"/>
      <c r="D21" s="21"/>
      <c r="E21" s="21"/>
      <c r="F21" s="22" t="s">
        <v>24</v>
      </c>
      <c r="G21" s="20">
        <f>G17+(G18*C24)+(G19*C25)+(G20*C26)</f>
        <v>22860560400</v>
      </c>
      <c r="H21" s="20">
        <f>H17+(H18*C24)+(H19*C25)+(H20*C26)</f>
        <v>22878303512.040001</v>
      </c>
      <c r="I21" s="23">
        <f>I17+(I18*C24)+(I19*C25)+(I20*C26)</f>
        <v>1885574465.2780218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x14ac:dyDescent="0.25">
      <c r="A23" s="25"/>
      <c r="B23" s="112" t="s">
        <v>58</v>
      </c>
      <c r="C23" s="112"/>
      <c r="D23" s="112"/>
      <c r="E23" s="25"/>
      <c r="F23" s="106" t="s">
        <v>52</v>
      </c>
      <c r="G23" s="107"/>
      <c r="H23" s="107"/>
      <c r="I23" s="108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" customHeight="1" x14ac:dyDescent="0.25">
      <c r="A24" s="25"/>
      <c r="B24" s="26" t="s">
        <v>51</v>
      </c>
      <c r="C24" s="43">
        <v>13000</v>
      </c>
      <c r="D24" s="27" t="s">
        <v>48</v>
      </c>
      <c r="E24" s="25"/>
      <c r="F24" s="111" t="s">
        <v>53</v>
      </c>
      <c r="G24" s="110" t="s">
        <v>54</v>
      </c>
      <c r="H24" s="110" t="s">
        <v>55</v>
      </c>
      <c r="I24" s="110" t="s">
        <v>56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x14ac:dyDescent="0.25">
      <c r="A25" s="25"/>
      <c r="B25" s="26" t="s">
        <v>49</v>
      </c>
      <c r="C25" s="43">
        <v>14000</v>
      </c>
      <c r="D25" s="27" t="s">
        <v>48</v>
      </c>
      <c r="E25" s="25"/>
      <c r="F25" s="111"/>
      <c r="G25" s="110"/>
      <c r="H25" s="110"/>
      <c r="I25" s="110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x14ac:dyDescent="0.25">
      <c r="A26" s="25"/>
      <c r="B26" s="26" t="s">
        <v>50</v>
      </c>
      <c r="C26" s="43">
        <v>120</v>
      </c>
      <c r="D26" s="27" t="s">
        <v>48</v>
      </c>
      <c r="E26" s="25"/>
      <c r="F26" s="41" t="s">
        <v>57</v>
      </c>
      <c r="G26" s="42">
        <f>I21</f>
        <v>1885574465.2780218</v>
      </c>
      <c r="H26" s="40"/>
      <c r="I26" s="13">
        <f>H26/G26</f>
        <v>0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</sheetData>
  <mergeCells count="9">
    <mergeCell ref="B1:I1"/>
    <mergeCell ref="F23:I23"/>
    <mergeCell ref="D3:E3"/>
    <mergeCell ref="B2:I2"/>
    <mergeCell ref="I24:I25"/>
    <mergeCell ref="H24:H25"/>
    <mergeCell ref="G24:G25"/>
    <mergeCell ref="F24:F25"/>
    <mergeCell ref="B23:D23"/>
  </mergeCells>
  <conditionalFormatting sqref="G4:G6">
    <cfRule type="iconSet" priority="18">
      <iconSet iconSet="3Symbols">
        <cfvo type="percent" val="0"/>
        <cfvo type="num" val="0"/>
        <cfvo type="num" val="0" gte="0"/>
      </iconSet>
    </cfRule>
  </conditionalFormatting>
  <conditionalFormatting sqref="H4:H6">
    <cfRule type="iconSet" priority="19">
      <iconSet iconSet="3Symbols">
        <cfvo type="percent" val="0"/>
        <cfvo type="num" val="0"/>
        <cfvo type="num" val="0" gte="0"/>
      </iconSet>
    </cfRule>
  </conditionalFormatting>
  <conditionalFormatting sqref="I4:I6">
    <cfRule type="iconSet" priority="17">
      <iconSet iconSet="3Symbols">
        <cfvo type="percent" val="0"/>
        <cfvo type="num" val="0"/>
        <cfvo type="num" val="0" gte="0"/>
      </iconSet>
    </cfRule>
  </conditionalFormatting>
  <conditionalFormatting sqref="G17:I21">
    <cfRule type="iconSet" priority="16">
      <iconSet iconSet="3Symbols">
        <cfvo type="percent" val="0"/>
        <cfvo type="num" val="0"/>
        <cfvo type="num" val="0" gte="0"/>
      </iconSet>
    </cfRule>
  </conditionalFormatting>
  <conditionalFormatting sqref="G7">
    <cfRule type="iconSet" priority="14">
      <iconSet iconSet="3Symbols">
        <cfvo type="percent" val="0"/>
        <cfvo type="num" val="0"/>
        <cfvo type="num" val="0" gte="0"/>
      </iconSet>
    </cfRule>
  </conditionalFormatting>
  <conditionalFormatting sqref="H7">
    <cfRule type="iconSet" priority="15">
      <iconSet iconSet="3Symbols">
        <cfvo type="percent" val="0"/>
        <cfvo type="num" val="0"/>
        <cfvo type="num" val="0" gte="0"/>
      </iconSet>
    </cfRule>
  </conditionalFormatting>
  <conditionalFormatting sqref="I7">
    <cfRule type="iconSet" priority="13">
      <iconSet iconSet="3Symbols">
        <cfvo type="percent" val="0"/>
        <cfvo type="num" val="0"/>
        <cfvo type="num" val="0" gte="0"/>
      </iconSet>
    </cfRule>
  </conditionalFormatting>
  <conditionalFormatting sqref="G8">
    <cfRule type="iconSet" priority="11">
      <iconSet iconSet="3Symbols">
        <cfvo type="percent" val="0"/>
        <cfvo type="num" val="0"/>
        <cfvo type="num" val="0" gte="0"/>
      </iconSet>
    </cfRule>
  </conditionalFormatting>
  <conditionalFormatting sqref="H8">
    <cfRule type="iconSet" priority="12">
      <iconSet iconSet="3Symbols">
        <cfvo type="percent" val="0"/>
        <cfvo type="num" val="0"/>
        <cfvo type="num" val="0" gte="0"/>
      </iconSet>
    </cfRule>
  </conditionalFormatting>
  <conditionalFormatting sqref="I8">
    <cfRule type="iconSet" priority="10">
      <iconSet iconSet="3Symbols">
        <cfvo type="percent" val="0"/>
        <cfvo type="num" val="0"/>
        <cfvo type="num" val="0" gte="0"/>
      </iconSet>
    </cfRule>
  </conditionalFormatting>
  <conditionalFormatting sqref="G9">
    <cfRule type="iconSet" priority="8">
      <iconSet iconSet="3Symbols">
        <cfvo type="percent" val="0"/>
        <cfvo type="num" val="0"/>
        <cfvo type="num" val="0" gte="0"/>
      </iconSet>
    </cfRule>
  </conditionalFormatting>
  <conditionalFormatting sqref="H9">
    <cfRule type="iconSet" priority="9">
      <iconSet iconSet="3Symbols">
        <cfvo type="percent" val="0"/>
        <cfvo type="num" val="0"/>
        <cfvo type="num" val="0" gte="0"/>
      </iconSet>
    </cfRule>
  </conditionalFormatting>
  <conditionalFormatting sqref="I9">
    <cfRule type="iconSet" priority="7">
      <iconSet iconSet="3Symbols">
        <cfvo type="percent" val="0"/>
        <cfvo type="num" val="0"/>
        <cfvo type="num" val="0" gte="0"/>
      </iconSet>
    </cfRule>
  </conditionalFormatting>
  <conditionalFormatting sqref="G10:G15">
    <cfRule type="iconSet" priority="5">
      <iconSet iconSet="3Symbols">
        <cfvo type="percent" val="0"/>
        <cfvo type="num" val="0"/>
        <cfvo type="num" val="0" gte="0"/>
      </iconSet>
    </cfRule>
  </conditionalFormatting>
  <conditionalFormatting sqref="H10:H15">
    <cfRule type="iconSet" priority="6">
      <iconSet iconSet="3Symbols">
        <cfvo type="percent" val="0"/>
        <cfvo type="num" val="0"/>
        <cfvo type="num" val="0" gte="0"/>
      </iconSet>
    </cfRule>
  </conditionalFormatting>
  <conditionalFormatting sqref="I10:I15">
    <cfRule type="iconSet" priority="4">
      <iconSet iconSet="3Symbols">
        <cfvo type="percent" val="0"/>
        <cfvo type="num" val="0"/>
        <cfvo type="num" val="0" gte="0"/>
      </iconSet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8"/>
  <sheetViews>
    <sheetView zoomScale="85" zoomScaleNormal="85" workbookViewId="0">
      <selection activeCell="D33" sqref="D33"/>
    </sheetView>
  </sheetViews>
  <sheetFormatPr defaultRowHeight="15" x14ac:dyDescent="0.25"/>
  <cols>
    <col min="1" max="1" width="5.7109375" style="25" customWidth="1"/>
    <col min="2" max="2" width="4.28515625" style="25" customWidth="1"/>
    <col min="3" max="3" width="44.140625" style="25" bestFit="1" customWidth="1"/>
    <col min="4" max="4" width="29.42578125" style="25" bestFit="1" customWidth="1"/>
    <col min="5" max="5" width="10.140625" style="25" bestFit="1" customWidth="1"/>
    <col min="6" max="6" width="28.5703125" style="25" bestFit="1" customWidth="1"/>
    <col min="7" max="7" width="14.42578125" style="25" bestFit="1" customWidth="1"/>
    <col min="8" max="16384" width="9.140625" style="25"/>
  </cols>
  <sheetData>
    <row r="1" spans="2:7" ht="15.75" thickBot="1" x14ac:dyDescent="0.3"/>
    <row r="2" spans="2:7" ht="17.25" thickBot="1" x14ac:dyDescent="0.3">
      <c r="B2" s="53" t="s">
        <v>62</v>
      </c>
      <c r="C2" s="54" t="s">
        <v>72</v>
      </c>
      <c r="D2" s="55" t="s">
        <v>73</v>
      </c>
      <c r="E2" s="55" t="s">
        <v>71</v>
      </c>
      <c r="F2" s="55" t="s">
        <v>84</v>
      </c>
      <c r="G2" s="56" t="s">
        <v>74</v>
      </c>
    </row>
    <row r="3" spans="2:7" s="64" customFormat="1" ht="30.75" thickBot="1" x14ac:dyDescent="0.25">
      <c r="B3" s="62">
        <v>1</v>
      </c>
      <c r="C3" s="63" t="s">
        <v>75</v>
      </c>
      <c r="D3" s="69" t="s">
        <v>82</v>
      </c>
      <c r="E3" s="69">
        <v>10</v>
      </c>
      <c r="F3" s="74">
        <v>1</v>
      </c>
      <c r="G3" s="70">
        <f>E3*F3</f>
        <v>10</v>
      </c>
    </row>
    <row r="4" spans="2:7" s="64" customFormat="1" ht="28.5" customHeight="1" thickBot="1" x14ac:dyDescent="0.25">
      <c r="B4" s="65">
        <v>2</v>
      </c>
      <c r="C4" s="66" t="s">
        <v>76</v>
      </c>
      <c r="D4" s="71" t="s">
        <v>81</v>
      </c>
      <c r="E4" s="71">
        <v>8</v>
      </c>
      <c r="F4" s="75"/>
      <c r="G4" s="70">
        <f t="shared" ref="G4:G5" si="0">E4*F4</f>
        <v>0</v>
      </c>
    </row>
    <row r="5" spans="2:7" s="64" customFormat="1" ht="28.5" customHeight="1" thickBot="1" x14ac:dyDescent="0.25">
      <c r="B5" s="65">
        <v>3</v>
      </c>
      <c r="C5" s="66" t="s">
        <v>78</v>
      </c>
      <c r="D5" s="71" t="s">
        <v>80</v>
      </c>
      <c r="E5" s="71">
        <v>6</v>
      </c>
      <c r="F5" s="75"/>
      <c r="G5" s="70">
        <f t="shared" si="0"/>
        <v>0</v>
      </c>
    </row>
    <row r="6" spans="2:7" s="64" customFormat="1" ht="28.5" customHeight="1" thickBot="1" x14ac:dyDescent="0.25">
      <c r="B6" s="67">
        <v>4</v>
      </c>
      <c r="C6" s="68" t="s">
        <v>77</v>
      </c>
      <c r="D6" s="72" t="s">
        <v>79</v>
      </c>
      <c r="E6" s="72">
        <v>2</v>
      </c>
      <c r="F6" s="76"/>
      <c r="G6" s="73">
        <f>E6*F6</f>
        <v>0</v>
      </c>
    </row>
    <row r="7" spans="2:7" ht="16.5" thickBot="1" x14ac:dyDescent="0.3">
      <c r="B7" s="60"/>
      <c r="C7" s="61"/>
      <c r="D7" s="61"/>
      <c r="E7" s="59"/>
      <c r="F7" s="78">
        <f>SUM(F3:F6)</f>
        <v>1</v>
      </c>
      <c r="G7" s="77">
        <f>SUM(G3:G6)</f>
        <v>10</v>
      </c>
    </row>
    <row r="8" spans="2:7" x14ac:dyDescent="0.25">
      <c r="F8" s="58" t="s">
        <v>83</v>
      </c>
      <c r="G8" s="58" t="s">
        <v>85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abSelected="1" zoomScale="130" zoomScaleNormal="130" workbookViewId="0">
      <selection activeCell="E18" sqref="E18"/>
    </sheetView>
  </sheetViews>
  <sheetFormatPr defaultRowHeight="15" x14ac:dyDescent="0.25"/>
  <cols>
    <col min="1" max="1" width="2.140625" bestFit="1" customWidth="1"/>
    <col min="2" max="2" width="42.85546875" bestFit="1" customWidth="1"/>
    <col min="3" max="3" width="14" bestFit="1" customWidth="1"/>
    <col min="4" max="4" width="6.42578125" bestFit="1" customWidth="1"/>
    <col min="5" max="5" width="12.7109375" customWidth="1"/>
    <col min="6" max="6" width="14.42578125" customWidth="1"/>
    <col min="7" max="7" width="6.5703125" customWidth="1"/>
    <col min="8" max="11" width="12.7109375" customWidth="1"/>
    <col min="12" max="14" width="8.85546875" bestFit="1" customWidth="1"/>
    <col min="15" max="15" width="7.7109375" bestFit="1" customWidth="1"/>
    <col min="16" max="18" width="7.28515625" bestFit="1" customWidth="1"/>
    <col min="19" max="19" width="7" bestFit="1" customWidth="1"/>
    <col min="20" max="22" width="7.28515625" hidden="1" customWidth="1"/>
    <col min="23" max="23" width="7" hidden="1" customWidth="1"/>
  </cols>
  <sheetData>
    <row r="1" spans="1:23" ht="15.75" thickBot="1" x14ac:dyDescent="0.3"/>
    <row r="2" spans="1:23" x14ac:dyDescent="0.25">
      <c r="B2" s="145" t="s">
        <v>86</v>
      </c>
      <c r="C2" s="129" t="s">
        <v>111</v>
      </c>
      <c r="D2" s="130"/>
      <c r="E2" s="131"/>
      <c r="F2" s="129" t="s">
        <v>114</v>
      </c>
      <c r="G2" s="130"/>
      <c r="H2" s="131"/>
      <c r="I2" s="129" t="s">
        <v>112</v>
      </c>
      <c r="J2" s="130"/>
      <c r="K2" s="131"/>
    </row>
    <row r="3" spans="1:23" ht="25.5" x14ac:dyDescent="0.25">
      <c r="B3" s="146"/>
      <c r="C3" s="132" t="s">
        <v>113</v>
      </c>
      <c r="D3" s="113" t="s">
        <v>87</v>
      </c>
      <c r="E3" s="133" t="s">
        <v>102</v>
      </c>
      <c r="F3" s="132" t="s">
        <v>113</v>
      </c>
      <c r="G3" s="113" t="s">
        <v>87</v>
      </c>
      <c r="H3" s="133" t="s">
        <v>102</v>
      </c>
      <c r="I3" s="132" t="s">
        <v>113</v>
      </c>
      <c r="J3" s="113" t="s">
        <v>87</v>
      </c>
      <c r="K3" s="133" t="s">
        <v>102</v>
      </c>
      <c r="L3" s="116" t="s">
        <v>115</v>
      </c>
      <c r="M3" s="117" t="s">
        <v>116</v>
      </c>
      <c r="N3" s="117" t="s">
        <v>117</v>
      </c>
      <c r="O3" s="118" t="s">
        <v>118</v>
      </c>
      <c r="P3" s="119" t="s">
        <v>105</v>
      </c>
      <c r="Q3" s="120" t="s">
        <v>106</v>
      </c>
      <c r="R3" s="120" t="s">
        <v>103</v>
      </c>
      <c r="S3" s="121" t="s">
        <v>107</v>
      </c>
      <c r="T3" s="122" t="s">
        <v>108</v>
      </c>
      <c r="U3" s="85" t="s">
        <v>109</v>
      </c>
      <c r="V3" s="85" t="s">
        <v>110</v>
      </c>
      <c r="W3" s="123" t="s">
        <v>104</v>
      </c>
    </row>
    <row r="4" spans="1:23" x14ac:dyDescent="0.25">
      <c r="B4" s="143" t="s">
        <v>88</v>
      </c>
      <c r="C4" s="134" t="s">
        <v>101</v>
      </c>
      <c r="D4" s="128">
        <v>50</v>
      </c>
      <c r="E4" s="139">
        <f>C4*D4/100</f>
        <v>50</v>
      </c>
      <c r="F4" s="134" t="s">
        <v>101</v>
      </c>
      <c r="G4" s="114">
        <v>40</v>
      </c>
      <c r="H4" s="135">
        <f>F4*G4/100</f>
        <v>40</v>
      </c>
      <c r="I4" s="134" t="s">
        <v>101</v>
      </c>
      <c r="J4" s="114">
        <v>35</v>
      </c>
      <c r="K4" s="135">
        <f>I4*J4/100</f>
        <v>35</v>
      </c>
      <c r="L4" s="125">
        <f>G4*79%+21%*$G$10</f>
        <v>34.75</v>
      </c>
      <c r="M4" s="150">
        <f>G4*80%+20%*$G$10</f>
        <v>35</v>
      </c>
      <c r="N4" s="125">
        <f>G4*90%+10%*$G$10</f>
        <v>37.5</v>
      </c>
      <c r="O4" s="125">
        <f>G4*99%+$G$10*1%</f>
        <v>39.75</v>
      </c>
      <c r="P4" s="126">
        <f>J4*79%+21%*$J$11</f>
        <v>32.900000000000006</v>
      </c>
      <c r="Q4" s="126">
        <f>J4*80%+20%*$J$11</f>
        <v>33</v>
      </c>
      <c r="R4" s="126">
        <f>J4*90%+10%*$J$11</f>
        <v>34</v>
      </c>
      <c r="S4" s="151">
        <f>J4*99%+$J$11*1%</f>
        <v>34.9</v>
      </c>
      <c r="T4" s="127">
        <f>G4*79%+21%*$G$12</f>
        <v>34.75</v>
      </c>
      <c r="U4" s="127">
        <f>G4*80%+20%*$G$12</f>
        <v>35</v>
      </c>
      <c r="V4" s="127">
        <f>G4*90%+10%*$G$12</f>
        <v>37.5</v>
      </c>
      <c r="W4" s="127">
        <f>G4*99%+$G$12*1%</f>
        <v>39.75</v>
      </c>
    </row>
    <row r="5" spans="1:23" x14ac:dyDescent="0.25">
      <c r="B5" s="143" t="s">
        <v>90</v>
      </c>
      <c r="C5" s="134" t="s">
        <v>101</v>
      </c>
      <c r="D5" s="128" t="s">
        <v>91</v>
      </c>
      <c r="E5" s="139">
        <f t="shared" ref="E5:E9" si="0">C5*D5/100</f>
        <v>45</v>
      </c>
      <c r="F5" s="134" t="s">
        <v>101</v>
      </c>
      <c r="G5" s="114">
        <v>30</v>
      </c>
      <c r="H5" s="135">
        <f t="shared" ref="H5:H12" si="1">F5*G5/100</f>
        <v>30</v>
      </c>
      <c r="I5" s="134" t="s">
        <v>101</v>
      </c>
      <c r="J5" s="114">
        <v>30</v>
      </c>
      <c r="K5" s="135">
        <f>I5*J5/100</f>
        <v>30</v>
      </c>
      <c r="L5" s="125">
        <f t="shared" ref="L5:L9" si="2">G5*79%+21%*$G$10</f>
        <v>26.85</v>
      </c>
      <c r="M5" s="149">
        <f>G5*80%+20%*$G$10</f>
        <v>27</v>
      </c>
      <c r="N5" s="125">
        <f t="shared" ref="N5:N9" si="3">G5*90%+10%*$G$10</f>
        <v>28.5</v>
      </c>
      <c r="O5" s="125">
        <f t="shared" ref="O5:O12" si="4">G5*99%+$G$10*1%</f>
        <v>29.849999999999998</v>
      </c>
      <c r="P5" s="126">
        <f t="shared" ref="P5:P9" si="5">J5*79%+21%*$J$11</f>
        <v>28.950000000000003</v>
      </c>
      <c r="Q5" s="126">
        <f t="shared" ref="Q5:Q9" si="6">J5*80%+20%*$J$11</f>
        <v>29</v>
      </c>
      <c r="R5" s="126">
        <f t="shared" ref="R5:R9" si="7">J5*90%+10%*$J$11</f>
        <v>29.5</v>
      </c>
      <c r="S5" s="126">
        <f t="shared" ref="S5:S9" si="8">J5*99%+$J$11*1%</f>
        <v>29.95</v>
      </c>
      <c r="T5" s="127">
        <f t="shared" ref="T5:T9" si="9">G5*79%+21%*$G$12</f>
        <v>26.85</v>
      </c>
      <c r="U5" s="127">
        <f t="shared" ref="U5:U9" si="10">G5*80%+20%*$G$12</f>
        <v>27</v>
      </c>
      <c r="V5" s="127">
        <f t="shared" ref="V5:V9" si="11">G5*90%+10%*$G$12</f>
        <v>28.5</v>
      </c>
      <c r="W5" s="127">
        <f>G5*99%+$G$12*1%</f>
        <v>29.849999999999998</v>
      </c>
    </row>
    <row r="6" spans="1:23" x14ac:dyDescent="0.25">
      <c r="B6" s="143" t="s">
        <v>92</v>
      </c>
      <c r="C6" s="134" t="s">
        <v>101</v>
      </c>
      <c r="D6" s="128" t="s">
        <v>89</v>
      </c>
      <c r="E6" s="139">
        <f t="shared" si="0"/>
        <v>50</v>
      </c>
      <c r="F6" s="134" t="s">
        <v>101</v>
      </c>
      <c r="G6" s="114">
        <v>35</v>
      </c>
      <c r="H6" s="135">
        <f t="shared" si="1"/>
        <v>35</v>
      </c>
      <c r="I6" s="134" t="s">
        <v>101</v>
      </c>
      <c r="J6" s="114">
        <v>35</v>
      </c>
      <c r="K6" s="135">
        <f t="shared" ref="K6:K12" si="12">I6*J6/100</f>
        <v>35</v>
      </c>
      <c r="L6" s="125">
        <f t="shared" si="2"/>
        <v>30.8</v>
      </c>
      <c r="M6" s="149">
        <f>G6*80%+20%*$G$10</f>
        <v>31</v>
      </c>
      <c r="N6" s="125">
        <f t="shared" si="3"/>
        <v>33</v>
      </c>
      <c r="O6" s="125">
        <f t="shared" si="4"/>
        <v>34.799999999999997</v>
      </c>
      <c r="P6" s="126">
        <f t="shared" si="5"/>
        <v>32.900000000000006</v>
      </c>
      <c r="Q6" s="126">
        <f t="shared" si="6"/>
        <v>33</v>
      </c>
      <c r="R6" s="126">
        <f t="shared" si="7"/>
        <v>34</v>
      </c>
      <c r="S6" s="126">
        <f t="shared" si="8"/>
        <v>34.9</v>
      </c>
      <c r="T6" s="127">
        <f t="shared" si="9"/>
        <v>30.8</v>
      </c>
      <c r="U6" s="127">
        <f t="shared" si="10"/>
        <v>31</v>
      </c>
      <c r="V6" s="127">
        <f t="shared" si="11"/>
        <v>33</v>
      </c>
      <c r="W6" s="127">
        <f>G6*99%+$G$12*1%</f>
        <v>34.799999999999997</v>
      </c>
    </row>
    <row r="7" spans="1:23" x14ac:dyDescent="0.25">
      <c r="B7" s="143" t="s">
        <v>93</v>
      </c>
      <c r="C7" s="134" t="s">
        <v>101</v>
      </c>
      <c r="D7" s="128" t="s">
        <v>94</v>
      </c>
      <c r="E7" s="139">
        <f t="shared" si="0"/>
        <v>35</v>
      </c>
      <c r="F7" s="134" t="s">
        <v>101</v>
      </c>
      <c r="G7" s="114">
        <v>30</v>
      </c>
      <c r="H7" s="135">
        <f t="shared" si="1"/>
        <v>30</v>
      </c>
      <c r="I7" s="134" t="s">
        <v>101</v>
      </c>
      <c r="J7" s="114">
        <v>30</v>
      </c>
      <c r="K7" s="135">
        <f t="shared" si="12"/>
        <v>30</v>
      </c>
      <c r="L7" s="125">
        <f t="shared" si="2"/>
        <v>26.85</v>
      </c>
      <c r="M7" s="149">
        <f>G7*80%+20%*$G$10</f>
        <v>27</v>
      </c>
      <c r="N7" s="125">
        <f t="shared" si="3"/>
        <v>28.5</v>
      </c>
      <c r="O7" s="125">
        <f t="shared" si="4"/>
        <v>29.849999999999998</v>
      </c>
      <c r="P7" s="126">
        <f t="shared" si="5"/>
        <v>28.950000000000003</v>
      </c>
      <c r="Q7" s="126">
        <f t="shared" si="6"/>
        <v>29</v>
      </c>
      <c r="R7" s="126">
        <f t="shared" si="7"/>
        <v>29.5</v>
      </c>
      <c r="S7" s="126">
        <f t="shared" si="8"/>
        <v>29.95</v>
      </c>
      <c r="T7" s="127">
        <f t="shared" si="9"/>
        <v>26.85</v>
      </c>
      <c r="U7" s="127">
        <f t="shared" si="10"/>
        <v>27</v>
      </c>
      <c r="V7" s="127">
        <f t="shared" si="11"/>
        <v>28.5</v>
      </c>
      <c r="W7" s="127">
        <f>G7*99%+$G$12*1%</f>
        <v>29.849999999999998</v>
      </c>
    </row>
    <row r="8" spans="1:23" x14ac:dyDescent="0.25">
      <c r="B8" s="143" t="s">
        <v>95</v>
      </c>
      <c r="C8" s="134" t="s">
        <v>101</v>
      </c>
      <c r="D8" s="128" t="s">
        <v>94</v>
      </c>
      <c r="E8" s="139">
        <f t="shared" si="0"/>
        <v>35</v>
      </c>
      <c r="F8" s="134" t="s">
        <v>101</v>
      </c>
      <c r="G8" s="114">
        <v>30</v>
      </c>
      <c r="H8" s="135">
        <f t="shared" si="1"/>
        <v>30</v>
      </c>
      <c r="I8" s="134" t="s">
        <v>101</v>
      </c>
      <c r="J8" s="114">
        <v>30</v>
      </c>
      <c r="K8" s="135">
        <f t="shared" si="12"/>
        <v>30</v>
      </c>
      <c r="L8" s="125">
        <f t="shared" si="2"/>
        <v>26.85</v>
      </c>
      <c r="M8" s="149">
        <f>G8*80%+20%*$G$10</f>
        <v>27</v>
      </c>
      <c r="N8" s="125">
        <f t="shared" si="3"/>
        <v>28.5</v>
      </c>
      <c r="O8" s="125">
        <f t="shared" si="4"/>
        <v>29.849999999999998</v>
      </c>
      <c r="P8" s="126">
        <f t="shared" si="5"/>
        <v>28.950000000000003</v>
      </c>
      <c r="Q8" s="126">
        <f t="shared" si="6"/>
        <v>29</v>
      </c>
      <c r="R8" s="126">
        <f t="shared" si="7"/>
        <v>29.5</v>
      </c>
      <c r="S8" s="126">
        <f t="shared" si="8"/>
        <v>29.95</v>
      </c>
      <c r="T8" s="127">
        <f t="shared" si="9"/>
        <v>26.85</v>
      </c>
      <c r="U8" s="127">
        <f t="shared" si="10"/>
        <v>27</v>
      </c>
      <c r="V8" s="127">
        <f t="shared" si="11"/>
        <v>28.5</v>
      </c>
      <c r="W8" s="127">
        <f>G8*99%+$G$12*1%</f>
        <v>29.849999999999998</v>
      </c>
    </row>
    <row r="9" spans="1:23" x14ac:dyDescent="0.25">
      <c r="B9" s="143" t="s">
        <v>96</v>
      </c>
      <c r="C9" s="134" t="s">
        <v>101</v>
      </c>
      <c r="D9" s="128" t="s">
        <v>97</v>
      </c>
      <c r="E9" s="139">
        <f t="shared" si="0"/>
        <v>30</v>
      </c>
      <c r="F9" s="134" t="s">
        <v>101</v>
      </c>
      <c r="G9" s="114">
        <v>25</v>
      </c>
      <c r="H9" s="135">
        <f t="shared" si="1"/>
        <v>25</v>
      </c>
      <c r="I9" s="134" t="s">
        <v>101</v>
      </c>
      <c r="J9" s="114">
        <v>25</v>
      </c>
      <c r="K9" s="135">
        <f t="shared" si="12"/>
        <v>25</v>
      </c>
      <c r="L9" s="125">
        <f t="shared" si="2"/>
        <v>22.9</v>
      </c>
      <c r="M9" s="149">
        <f>G9*80%+20%*$G$10</f>
        <v>23</v>
      </c>
      <c r="N9" s="125">
        <f t="shared" si="3"/>
        <v>24</v>
      </c>
      <c r="O9" s="125">
        <f t="shared" si="4"/>
        <v>24.9</v>
      </c>
      <c r="P9" s="126">
        <f t="shared" si="5"/>
        <v>25</v>
      </c>
      <c r="Q9" s="126">
        <f t="shared" si="6"/>
        <v>25</v>
      </c>
      <c r="R9" s="126">
        <f t="shared" si="7"/>
        <v>25</v>
      </c>
      <c r="S9" s="126">
        <f t="shared" si="8"/>
        <v>25</v>
      </c>
      <c r="T9" s="127">
        <f t="shared" si="9"/>
        <v>22.9</v>
      </c>
      <c r="U9" s="127">
        <f t="shared" si="10"/>
        <v>23</v>
      </c>
      <c r="V9" s="127">
        <f t="shared" si="11"/>
        <v>24</v>
      </c>
      <c r="W9" s="127">
        <f>G9*99%+$G$12*1%</f>
        <v>24.9</v>
      </c>
    </row>
    <row r="10" spans="1:23" x14ac:dyDescent="0.25">
      <c r="A10">
        <v>1</v>
      </c>
      <c r="B10" s="143" t="s">
        <v>98</v>
      </c>
      <c r="C10" s="134" t="s">
        <v>101</v>
      </c>
      <c r="D10" s="124"/>
      <c r="E10" s="142"/>
      <c r="F10" s="134" t="s">
        <v>101</v>
      </c>
      <c r="G10" s="128">
        <v>15</v>
      </c>
      <c r="H10" s="139">
        <f>F10*G10/100</f>
        <v>15</v>
      </c>
      <c r="I10" s="134" t="s">
        <v>101</v>
      </c>
      <c r="J10" s="114">
        <v>15</v>
      </c>
      <c r="K10" s="135">
        <f t="shared" si="12"/>
        <v>15</v>
      </c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</row>
    <row r="11" spans="1:23" x14ac:dyDescent="0.25">
      <c r="A11">
        <v>2</v>
      </c>
      <c r="B11" s="143" t="s">
        <v>99</v>
      </c>
      <c r="C11" s="134" t="s">
        <v>101</v>
      </c>
      <c r="D11" s="124"/>
      <c r="E11" s="142"/>
      <c r="F11" s="134" t="s">
        <v>101</v>
      </c>
      <c r="G11" s="124"/>
      <c r="H11" s="142"/>
      <c r="I11" s="134" t="s">
        <v>101</v>
      </c>
      <c r="J11" s="128">
        <v>25</v>
      </c>
      <c r="K11" s="139">
        <f t="shared" si="12"/>
        <v>25</v>
      </c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</row>
    <row r="12" spans="1:23" ht="15.75" thickBot="1" x14ac:dyDescent="0.3">
      <c r="A12">
        <v>3</v>
      </c>
      <c r="B12" s="144" t="s">
        <v>100</v>
      </c>
      <c r="C12" s="136" t="s">
        <v>101</v>
      </c>
      <c r="D12" s="140"/>
      <c r="E12" s="141"/>
      <c r="F12" s="136" t="s">
        <v>101</v>
      </c>
      <c r="G12" s="137">
        <v>15</v>
      </c>
      <c r="H12" s="138">
        <f t="shared" si="1"/>
        <v>15</v>
      </c>
      <c r="I12" s="136" t="s">
        <v>101</v>
      </c>
      <c r="J12" s="147">
        <v>15</v>
      </c>
      <c r="K12" s="148">
        <f t="shared" si="12"/>
        <v>15</v>
      </c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</row>
  </sheetData>
  <mergeCells count="4">
    <mergeCell ref="C2:E2"/>
    <mergeCell ref="F2:H2"/>
    <mergeCell ref="I2:K2"/>
    <mergeCell ref="B2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Sheet1</vt:lpstr>
      <vt:lpstr>Баланс</vt:lpstr>
      <vt:lpstr>Оборотка</vt:lpstr>
      <vt:lpstr>LGD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RichEliteClub</dc:creator>
  <cp:lastModifiedBy>Asrarov A'zam Baxrom o'g'li</cp:lastModifiedBy>
  <dcterms:created xsi:type="dcterms:W3CDTF">2015-06-05T18:17:20Z</dcterms:created>
  <dcterms:modified xsi:type="dcterms:W3CDTF">2026-02-02T06:28:29Z</dcterms:modified>
</cp:coreProperties>
</file>