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610"/>
  </bookViews>
  <sheets>
    <sheet name="Чек-лист риск" sheetId="1" r:id="rId1"/>
    <sheet name="Констант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9" i="1" l="1"/>
  <c r="K40" i="1"/>
</calcChain>
</file>

<file path=xl/comments1.xml><?xml version="1.0" encoding="utf-8"?>
<comments xmlns="http://schemas.openxmlformats.org/spreadsheetml/2006/main">
  <authors>
    <author>Автор</author>
  </authors>
  <commentList>
    <comment ref="E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26.06.2025/ 102-2 сонли бошқарув қарори. "кредит йиғмажилдларини шакллантириш ва ҳужжатларни расмийлаштириш Регламентига киритилаётган қўшимча ва ўзгартиришлар". // 239 банд 2 пункт.
</t>
        </r>
      </text>
    </comment>
  </commentList>
</comments>
</file>

<file path=xl/sharedStrings.xml><?xml version="1.0" encoding="utf-8"?>
<sst xmlns="http://schemas.openxmlformats.org/spreadsheetml/2006/main" count="221" uniqueCount="134">
  <si>
    <t>баланс</t>
  </si>
  <si>
    <t>7300 (560) разбивка</t>
  </si>
  <si>
    <t>полный анализ активов и пассивов</t>
  </si>
  <si>
    <t>Ф1 годовой 2024 либо опер, число совпадает с формой 2</t>
  </si>
  <si>
    <t>Ф2 270 не вышла минусовым показателем</t>
  </si>
  <si>
    <t>надо проверить эти критерии</t>
  </si>
  <si>
    <t>дог купли продаж</t>
  </si>
  <si>
    <t>После оплаты 30%, контр должен расписать договор и отправить товар</t>
  </si>
  <si>
    <t>Устав</t>
  </si>
  <si>
    <t>8300 (410) Сумма уставного капитала должна равнятся сумме на уставе предприятия</t>
  </si>
  <si>
    <t>Обратить внимание на доли участников (+ihamkor; +orginfo). Дата обновления устава.</t>
  </si>
  <si>
    <t>Бизнес план</t>
  </si>
  <si>
    <t>Цель, мощность, план погашения, план по денежному потоку, NPV, IRR. На свою долю что планирует осуществлять?</t>
  </si>
  <si>
    <t>Срок поставки, установить лимит доставки товара и подстраховать, также если поставки не будет то сделать возврат денег с клиента</t>
  </si>
  <si>
    <t>Оборот</t>
  </si>
  <si>
    <t>8 запрос</t>
  </si>
  <si>
    <t>МКБ оборот (детально)</t>
  </si>
  <si>
    <t>обороты в др. банках (с разбивкой), также: К2, кредиты, гарантии</t>
  </si>
  <si>
    <t>История погашения, действующие кредиты, гарантии</t>
  </si>
  <si>
    <t>КАТМ / КИАЦ</t>
  </si>
  <si>
    <t>Оценка</t>
  </si>
  <si>
    <t>срок оценки до 6 месяцев</t>
  </si>
  <si>
    <t>номер кадастра, адрес, размер, фото</t>
  </si>
  <si>
    <t>Происхождения, год, паспорт, фото</t>
  </si>
  <si>
    <t>произвольная оценочная компания</t>
  </si>
  <si>
    <t>intranet</t>
  </si>
  <si>
    <t>дог соглашения</t>
  </si>
  <si>
    <t>коммерческое предложение с других фирм (минимум 3)</t>
  </si>
  <si>
    <t>Сумма кредита</t>
  </si>
  <si>
    <t>да</t>
  </si>
  <si>
    <t>нет</t>
  </si>
  <si>
    <t>Ф2 на плюсе</t>
  </si>
  <si>
    <t>+</t>
  </si>
  <si>
    <t>разбивка долгосросных обязательств</t>
  </si>
  <si>
    <t>уставная сумма отражаетса на Ф1 8300 (410) строке</t>
  </si>
  <si>
    <t>алоқадор корхоналарининг кредит ва унга тенглаштирилган операциялар бўйича муддати ўтган қарздорлиги мавжуд бўлмаган тақдирда, кредит ажратиш;</t>
  </si>
  <si>
    <t>Имеет ли К2, просрочки и др.</t>
  </si>
  <si>
    <t>1 транш 30%, 2ой 70%</t>
  </si>
  <si>
    <t>есть коммерческие предложения</t>
  </si>
  <si>
    <t>а) меньше 10 000 б.р.в.</t>
  </si>
  <si>
    <t>б) больше 10 000 б.р.в. и есть НАПУ</t>
  </si>
  <si>
    <t>местный рынок</t>
  </si>
  <si>
    <t>импорт</t>
  </si>
  <si>
    <t>есть заключения департамента ВЭД</t>
  </si>
  <si>
    <t>устав</t>
  </si>
  <si>
    <t>8300 (410) сумма уставного капитала равнятся сумме на уставе предприятия</t>
  </si>
  <si>
    <t>дата открытия более 6 месяцев</t>
  </si>
  <si>
    <t>Связанные фирмы</t>
  </si>
  <si>
    <t>бизнес план</t>
  </si>
  <si>
    <t>NPV, IRR выходит положительно</t>
  </si>
  <si>
    <t>своя доля наличными</t>
  </si>
  <si>
    <t>оборот</t>
  </si>
  <si>
    <t>оборот соответствует с деятельностью фирмы</t>
  </si>
  <si>
    <t>нет гарантии или поручительств</t>
  </si>
  <si>
    <t>нет просроченных платежей, К2</t>
  </si>
  <si>
    <t>КАТМ/КИАЦ</t>
  </si>
  <si>
    <t>отличная, хорошая, средняя история</t>
  </si>
  <si>
    <t>нет пролонгаций</t>
  </si>
  <si>
    <t>нет просроченных платежей на более 90 дней</t>
  </si>
  <si>
    <t>залог</t>
  </si>
  <si>
    <t>фотки залога соответствуют на цену</t>
  </si>
  <si>
    <t>пройден 1 этап</t>
  </si>
  <si>
    <t>андеррайтер</t>
  </si>
  <si>
    <t>доки</t>
  </si>
  <si>
    <t>связанные лица (вн. контроль)</t>
  </si>
  <si>
    <t>обеспечения соответствует (валютный 135%, сум 125%)</t>
  </si>
  <si>
    <t>Откуда</t>
  </si>
  <si>
    <t>заключение департамента внутреннего контроля</t>
  </si>
  <si>
    <t>анализ</t>
  </si>
  <si>
    <t>корпоратив деп (IABS)</t>
  </si>
  <si>
    <t>Кадастр (залог)</t>
  </si>
  <si>
    <t>Техника (залог)</t>
  </si>
  <si>
    <t>Место реализации проекта</t>
  </si>
  <si>
    <t>Если арендный договор то: подтверждён с Налоговой и срок не меньше последней даты платежа кредита</t>
  </si>
  <si>
    <t>Если место своё то: нет ли обязательств насчёт этого здания, и отражён ли на балансе предприятия</t>
  </si>
  <si>
    <t>Совпадают ли фотки ожидания по поводу реализации (достроен, оснащён необходимыми ресурсами)</t>
  </si>
  <si>
    <t>ажратилиши режалаштирилаётган кредит маблағлари мижоз бизнес режасига асосан сарфланиши тегишли департаментлар томонидан назорат қилиниши;</t>
  </si>
  <si>
    <t>корхонани белгиланган тартибда мониторинг қилиб бориш ва кредитнинг ўз вақтида сўндирилишини назоратга олиш тегишли департаментлар зиммасига юклатиши;</t>
  </si>
  <si>
    <t>“Микрокредитбанк” АТБ Харид комиссиясининг 2025 йил 
17 мартдаги мажлис баённомасига асосан “Кредит операциялари билан боғлиқ суғурталаш амалиётларини бажариш” бўйича ўтказилган танловда ғолиб бўлган суғурта компанияларининг хизматлари мижозларга таклиф этилиши назоратга олиниши;</t>
  </si>
  <si>
    <t>шунингдек, “Микрокредитбанк” АТБ Бошқарувининг 2024 йил 
29 ноябрдаги 182-2-сонли қарорининг 12-бандига мувофиқ Кредитларни мақуллаш ва Корпоратив бизнес департаменти томонидан мижознинг молиявий ҳисоботи, бизнес режаси ва гаровларнинг етарлилигини синчковлик билан ўрганилиши лозим.</t>
  </si>
  <si>
    <t>константа</t>
  </si>
  <si>
    <t>Корп, мал. бизнес</t>
  </si>
  <si>
    <r>
      <rPr>
        <b/>
        <i/>
        <sz val="11"/>
        <color theme="1"/>
        <rFont val="Calibri"/>
        <family val="2"/>
        <charset val="204"/>
        <scheme val="minor"/>
      </rPr>
      <t>кредит ажратишдан олдин мижоз томонидан аввал ажратилган кредити бўйича белгиланган барча шартларни тўлиқ бажарилиши, шунингдек,</t>
    </r>
    <r>
      <rPr>
        <i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scheme val="minor"/>
      </rPr>
      <t>кредит таъминотининг 125% қисми таъминот билан таъминланиши тегишли департаментлар томонидан назорат қилиниши;</t>
    </r>
  </si>
  <si>
    <r>
      <rPr>
        <b/>
        <i/>
        <sz val="11"/>
        <color theme="1"/>
        <rFont val="Calibri"/>
        <family val="2"/>
        <charset val="204"/>
        <scheme val="minor"/>
      </rPr>
      <t>корпоратив</t>
    </r>
    <r>
      <rPr>
        <sz val="11"/>
        <color theme="1"/>
        <rFont val="Calibri"/>
        <family val="2"/>
        <scheme val="minor"/>
      </rPr>
      <t xml:space="preserve"> бизнес департаменти масъул ходимлари томонидан лойиҳани  жойига чиқиб кўрилиши ва ўрганилиши;</t>
    </r>
  </si>
  <si>
    <t>Хулоса</t>
  </si>
  <si>
    <t>сотиб олинаётган асбоб-ускуналар кредит қайтмаслик ҳатари бўйича суғурта полиси билан таъминланиши, 9 ой муддат ичида етиб келмаса, тегишли бўлинмалар томонидан кредитнинг муддатидан аввал сўндирилиши чоралари кўрилиши;</t>
  </si>
  <si>
    <t>гаров сифатида тақдим қилиниши режалаштирилаётган суғурта полиси кредитнинг тўлиқ муддатига тақдим қилиниши;</t>
  </si>
  <si>
    <r>
      <t xml:space="preserve">гаров сифатида тақдим қилинаётган барча мулкларни </t>
    </r>
    <r>
      <rPr>
        <b/>
        <i/>
        <u/>
        <sz val="11"/>
        <color theme="1"/>
        <rFont val="Calibri"/>
        <family val="2"/>
        <charset val="204"/>
        <scheme val="minor"/>
      </rPr>
      <t xml:space="preserve">Кредит сиёсати </t>
    </r>
    <r>
      <rPr>
        <b/>
        <i/>
        <sz val="11"/>
        <color theme="1"/>
        <rFont val="Calibri"/>
        <family val="2"/>
        <charset val="204"/>
        <scheme val="minor"/>
      </rPr>
      <t xml:space="preserve">ҳамда “Микрокредитбанк” АТБ тизимида кредит йиғма жилдларини шакллантириш ва ҳужжатларни расмийлаштириш </t>
    </r>
    <r>
      <rPr>
        <b/>
        <i/>
        <u/>
        <sz val="11"/>
        <color theme="1"/>
        <rFont val="Calibri"/>
        <family val="2"/>
        <charset val="204"/>
        <scheme val="minor"/>
      </rPr>
      <t>регламенти</t>
    </r>
    <r>
      <rPr>
        <b/>
        <i/>
        <sz val="11"/>
        <color theme="1"/>
        <rFont val="Calibri"/>
        <family val="2"/>
        <charset val="204"/>
        <scheme val="minor"/>
      </rPr>
      <t xml:space="preserve"> талабларига асосан гаровга олиш;</t>
    </r>
  </si>
  <si>
    <t>Таъминот чегарасини инобатга олган ҳолда, кредитни гаров чегарасида траншларга бўлиб молиялаштириш;</t>
  </si>
  <si>
    <t>таъминот</t>
  </si>
  <si>
    <r>
      <t xml:space="preserve">Таъминотнинг етмаган қисми </t>
    </r>
    <r>
      <rPr>
        <u/>
        <sz val="11"/>
        <color theme="1"/>
        <rFont val="Calibri"/>
        <family val="2"/>
        <charset val="204"/>
        <scheme val="minor"/>
      </rPr>
      <t>ликвидли</t>
    </r>
    <r>
      <rPr>
        <sz val="11"/>
        <color theme="1"/>
        <rFont val="Calibri"/>
        <family val="2"/>
        <scheme val="minor"/>
      </rPr>
      <t xml:space="preserve"> мол-мулк билан таъминланиши банкнинг тегишли бўлинмалари томонидан назорат қилиниши;</t>
    </r>
  </si>
  <si>
    <t>Мижознинг қарз юки кўрсаткичи юқори бўлганлиги сабабли юридик корхоналарнинг кафилликлари ва ушбу корхона таъсисчиларининг жисмоний кафилликларини қўшимча таъминот сифатида олиш;</t>
  </si>
  <si>
    <t>Сотиб олинаётган асосий воситалар етиб келгунидан сўнг кредитнинг тўлиқ муддатига комплекс ҳолда гаровга олиниши, кредитнинг тўлиқ муддатига суғурта қилинганидан сўнг кредитнинг қолган қисми ажратилиши</t>
  </si>
  <si>
    <t>Источник финансирования (кредитная линия)</t>
  </si>
  <si>
    <t>процент кредита: ЦБ/СОФР + маржа</t>
  </si>
  <si>
    <t>если иностранная валюта на срок более 1 года то залог должен составлять 135%</t>
  </si>
  <si>
    <t>Регламент</t>
  </si>
  <si>
    <t>определить сумму по LGD и Кредитной нагрузки</t>
  </si>
  <si>
    <t>при покупки основных средств для импортов сумма которых свыше 10 000 б.р.в. требуется заключения НАПУ (Регламент), ТИФ</t>
  </si>
  <si>
    <t>опыт предприятия более 6 месяцев</t>
  </si>
  <si>
    <t>Дата открытие предприятия, как давно занимается тем чем занимается</t>
  </si>
  <si>
    <t>мониторинг</t>
  </si>
  <si>
    <t>дог.купл-прод</t>
  </si>
  <si>
    <t>дог.купл-прод, неисч.часть кредита</t>
  </si>
  <si>
    <t>долг.нагрузка, поручитель</t>
  </si>
  <si>
    <t>валюта кредита</t>
  </si>
  <si>
    <t>страхования</t>
  </si>
  <si>
    <r>
      <t>кредит фоизини ресурс нархи ва муддатидан келиб чиқиб, ўзгарувчан (SOFR + банк маржаси/</t>
    </r>
    <r>
      <rPr>
        <i/>
        <u/>
        <sz val="11"/>
        <color theme="1"/>
        <rFont val="Calibri"/>
        <family val="2"/>
        <charset val="204"/>
        <scheme val="minor"/>
      </rPr>
      <t>Ўзбекистон Республикаси Марказий банки + банк маржаси</t>
    </r>
    <r>
      <rPr>
        <sz val="11"/>
        <color theme="1"/>
        <rFont val="Calibri"/>
        <family val="2"/>
        <scheme val="minor"/>
      </rPr>
      <t>) қилиб белгилаш;</t>
    </r>
  </si>
  <si>
    <t>страхов.невозврата</t>
  </si>
  <si>
    <t>Қурилиш компанияси бўлса смета ҳужжатлари ва унга олинган ҳулосаларни текшириш кк, кредит ҳисобига нмалар оган, қурилиши нма ҳолатта. Олди-сотти ҳужжатларини кўриб олиниши режалаштирилаётган товарлар анализ қилинади, на самом деле кереми ёми.</t>
  </si>
  <si>
    <t>Факторинг</t>
  </si>
  <si>
    <t>Сумма факторинга(СФ)=(охирги 6 ойлик ўртача фаолиятидан тушум - кейинги 6 ойлик барча банклардаги ўртача тўлов) * факторинг ойлари сони / 2</t>
  </si>
  <si>
    <t>максимум на 180 дней (6 месяцев)</t>
  </si>
  <si>
    <t>Экспорт с правой регресс</t>
  </si>
  <si>
    <t>За последние 12 мес. Не полностью изменились учредители (исключение только между родными)</t>
  </si>
  <si>
    <t>Ф2 не в минусе</t>
  </si>
  <si>
    <t>Нет задолжностей и К2</t>
  </si>
  <si>
    <t>Нет в банковской системе или КАТМ у клиента или у связанных лиц клиента кредиты классифицированные "неудовлетворительный", "сомнительный", "безнадёжный" на текущий момент</t>
  </si>
  <si>
    <t>За последние 36 мес. не было 90+ просрочек</t>
  </si>
  <si>
    <t>МИБ</t>
  </si>
  <si>
    <t>Для импорт факторингов договора должны быть в базе единой электронной информационной системе внешнеторговых операций</t>
  </si>
  <si>
    <t>малый бизнес</t>
  </si>
  <si>
    <t>факторинг</t>
  </si>
  <si>
    <t>Сумма факторинга соответствует с требованием</t>
  </si>
  <si>
    <t>с правой регресс</t>
  </si>
  <si>
    <t>Есть за последние 36 мес. 90+ просрочек</t>
  </si>
  <si>
    <t>задолженность по МИБ имеется</t>
  </si>
  <si>
    <t>договора в базе единой электронной информационной системе внешнеторговых операций</t>
  </si>
  <si>
    <t>чек лист офишл</t>
  </si>
  <si>
    <t>Предложения Абдусамат ака</t>
  </si>
  <si>
    <t>Если у клиента в других банках имеется кредиты на общую сумму свыше 10 млрд. сум (эквивалент), то филиалы (БХМ, БХО) не имеют рассматривать документы на оформления кредита</t>
  </si>
  <si>
    <t>so`ngi 12 oy ichida 30% ulush boshqa shaxs nomiga o`tgan, registr.stat.uz saytidagi hamda bankdagi korxona rahbari to`g`risidagi ma`lumot bir xil emas</t>
  </si>
  <si>
    <t>564,136,226.65</t>
  </si>
  <si>
    <t>Остаток К2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</si>
</sst>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u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i/>
      <u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Fill="1" applyBorder="1" applyAlignment="1">
      <alignment vertical="center" textRotation="255"/>
    </xf>
    <xf numFmtId="0" fontId="0" fillId="0" borderId="0" xfId="0" applyFill="1"/>
    <xf numFmtId="0" fontId="0" fillId="0" borderId="0" xfId="0" applyFill="1" applyAlignment="1">
      <alignment vertical="center" textRotation="255"/>
    </xf>
    <xf numFmtId="0" fontId="0" fillId="0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vertical="center"/>
    </xf>
    <xf numFmtId="0" fontId="1" fillId="0" borderId="7" xfId="0" applyFont="1" applyFill="1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7" borderId="1" xfId="0" applyFill="1" applyBorder="1" applyAlignment="1">
      <alignment vertical="center" wrapText="1"/>
    </xf>
    <xf numFmtId="0" fontId="0" fillId="8" borderId="0" xfId="0" applyFill="1" applyBorder="1" applyAlignment="1">
      <alignment vertical="center" wrapText="1"/>
    </xf>
    <xf numFmtId="0" fontId="0" fillId="8" borderId="0" xfId="0" applyFill="1" applyAlignment="1">
      <alignment horizontal="center" vertical="center"/>
    </xf>
    <xf numFmtId="0" fontId="0" fillId="4" borderId="10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textRotation="255"/>
    </xf>
    <xf numFmtId="0" fontId="0" fillId="3" borderId="0" xfId="0" applyFill="1" applyBorder="1" applyAlignment="1">
      <alignment horizontal="center" vertical="center" textRotation="255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0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W49"/>
  <sheetViews>
    <sheetView tabSelected="1" topLeftCell="F1" zoomScaleNormal="100" workbookViewId="0">
      <selection activeCell="L1" sqref="L1"/>
    </sheetView>
  </sheetViews>
  <sheetFormatPr defaultRowHeight="15" x14ac:dyDescent="0.25"/>
  <cols>
    <col min="1" max="1" width="25.85546875" customWidth="1"/>
    <col min="2" max="2" width="3.5703125" bestFit="1" customWidth="1"/>
    <col min="3" max="3" width="3.42578125" bestFit="1" customWidth="1"/>
    <col min="4" max="4" width="26.42578125" style="14" bestFit="1" customWidth="1"/>
    <col min="5" max="5" width="57.5703125" customWidth="1"/>
    <col min="6" max="6" width="55.140625" customWidth="1"/>
    <col min="8" max="8" width="3.5703125" bestFit="1" customWidth="1"/>
    <col min="9" max="9" width="2.28515625" bestFit="1" customWidth="1"/>
    <col min="10" max="10" width="17.5703125" style="14" bestFit="1" customWidth="1"/>
    <col min="11" max="11" width="72.140625" bestFit="1" customWidth="1"/>
    <col min="12" max="12" width="3.28515625" style="14" bestFit="1" customWidth="1"/>
    <col min="13" max="13" width="4.140625" style="14" bestFit="1" customWidth="1"/>
    <col min="14" max="14" width="11.85546875" customWidth="1"/>
  </cols>
  <sheetData>
    <row r="1" spans="2:13" x14ac:dyDescent="0.25">
      <c r="C1" s="1"/>
      <c r="D1" s="2"/>
      <c r="E1" s="1"/>
      <c r="F1" s="1" t="s">
        <v>66</v>
      </c>
      <c r="G1" s="1"/>
      <c r="L1" s="12" t="s">
        <v>29</v>
      </c>
      <c r="M1" s="13" t="s">
        <v>30</v>
      </c>
    </row>
    <row r="2" spans="2:13" ht="15" customHeight="1" x14ac:dyDescent="0.25">
      <c r="B2" s="45" t="s">
        <v>5</v>
      </c>
      <c r="C2" s="43">
        <v>1</v>
      </c>
      <c r="D2" s="47" t="s">
        <v>63</v>
      </c>
      <c r="E2" s="3" t="s">
        <v>28</v>
      </c>
      <c r="F2" s="15" t="s">
        <v>69</v>
      </c>
      <c r="G2" s="1"/>
      <c r="H2" s="44" t="s">
        <v>128</v>
      </c>
      <c r="I2" s="6">
        <v>1</v>
      </c>
      <c r="J2" s="7" t="s">
        <v>62</v>
      </c>
      <c r="K2" s="3" t="s">
        <v>61</v>
      </c>
      <c r="L2" s="16"/>
      <c r="M2" s="16"/>
    </row>
    <row r="3" spans="2:13" x14ac:dyDescent="0.25">
      <c r="B3" s="45"/>
      <c r="C3" s="43"/>
      <c r="D3" s="48"/>
      <c r="E3" s="3" t="s">
        <v>93</v>
      </c>
      <c r="F3" s="15" t="s">
        <v>69</v>
      </c>
      <c r="G3" s="1"/>
      <c r="H3" s="45"/>
      <c r="I3" s="52">
        <v>2</v>
      </c>
      <c r="J3" s="49" t="s">
        <v>0</v>
      </c>
      <c r="K3" s="3" t="s">
        <v>34</v>
      </c>
      <c r="L3" s="16" t="s">
        <v>32</v>
      </c>
      <c r="M3" s="16"/>
    </row>
    <row r="4" spans="2:13" x14ac:dyDescent="0.25">
      <c r="B4" s="45"/>
      <c r="C4" s="43"/>
      <c r="D4" s="48"/>
      <c r="E4" s="3" t="s">
        <v>64</v>
      </c>
      <c r="F4" s="15" t="s">
        <v>67</v>
      </c>
      <c r="G4" s="1"/>
      <c r="H4" s="45"/>
      <c r="I4" s="53"/>
      <c r="J4" s="50"/>
      <c r="K4" s="3" t="s">
        <v>33</v>
      </c>
      <c r="L4" s="16" t="s">
        <v>32</v>
      </c>
      <c r="M4" s="16"/>
    </row>
    <row r="5" spans="2:13" ht="30" x14ac:dyDescent="0.25">
      <c r="B5" s="45"/>
      <c r="C5" s="43"/>
      <c r="D5" s="48"/>
      <c r="E5" s="4" t="s">
        <v>95</v>
      </c>
      <c r="F5" s="15" t="s">
        <v>96</v>
      </c>
      <c r="G5" s="1"/>
      <c r="H5" s="45"/>
      <c r="I5" s="53"/>
      <c r="J5" s="50"/>
      <c r="K5" s="3" t="s">
        <v>99</v>
      </c>
      <c r="L5" s="16" t="s">
        <v>32</v>
      </c>
      <c r="M5" s="16"/>
    </row>
    <row r="6" spans="2:13" x14ac:dyDescent="0.25">
      <c r="B6" s="45"/>
      <c r="C6" s="43"/>
      <c r="D6" s="48"/>
      <c r="E6" s="3" t="s">
        <v>94</v>
      </c>
      <c r="F6" s="15" t="s">
        <v>69</v>
      </c>
      <c r="G6" s="1"/>
      <c r="H6" s="45"/>
      <c r="I6" s="54"/>
      <c r="J6" s="51"/>
      <c r="K6" s="3" t="s">
        <v>31</v>
      </c>
      <c r="L6" s="16" t="s">
        <v>32</v>
      </c>
      <c r="M6" s="16"/>
    </row>
    <row r="7" spans="2:13" x14ac:dyDescent="0.25">
      <c r="B7" s="45"/>
      <c r="C7" s="43">
        <v>2</v>
      </c>
      <c r="D7" s="46" t="s">
        <v>0</v>
      </c>
      <c r="E7" s="3" t="s">
        <v>3</v>
      </c>
      <c r="F7" s="15" t="s">
        <v>69</v>
      </c>
      <c r="G7" s="1"/>
      <c r="H7" s="45"/>
      <c r="I7" s="52">
        <v>3</v>
      </c>
      <c r="J7" s="49" t="s">
        <v>6</v>
      </c>
      <c r="K7" s="3" t="s">
        <v>37</v>
      </c>
      <c r="L7" s="16" t="s">
        <v>32</v>
      </c>
      <c r="M7" s="16"/>
    </row>
    <row r="8" spans="2:13" x14ac:dyDescent="0.25">
      <c r="B8" s="45"/>
      <c r="C8" s="43"/>
      <c r="D8" s="46"/>
      <c r="E8" s="3" t="s">
        <v>1</v>
      </c>
      <c r="F8" s="15" t="s">
        <v>69</v>
      </c>
      <c r="G8" s="1"/>
      <c r="H8" s="45"/>
      <c r="I8" s="53"/>
      <c r="J8" s="50"/>
      <c r="K8" s="3" t="s">
        <v>38</v>
      </c>
      <c r="L8" s="16" t="s">
        <v>32</v>
      </c>
      <c r="M8" s="16"/>
    </row>
    <row r="9" spans="2:13" x14ac:dyDescent="0.25">
      <c r="B9" s="45"/>
      <c r="C9" s="43"/>
      <c r="D9" s="46"/>
      <c r="E9" s="3" t="s">
        <v>2</v>
      </c>
      <c r="F9" s="15" t="s">
        <v>69</v>
      </c>
      <c r="G9" s="1"/>
      <c r="H9" s="45"/>
      <c r="I9" s="53"/>
      <c r="J9" s="50"/>
      <c r="K9" s="3" t="s">
        <v>41</v>
      </c>
      <c r="L9" s="16" t="s">
        <v>32</v>
      </c>
      <c r="M9" s="16"/>
    </row>
    <row r="10" spans="2:13" x14ac:dyDescent="0.25">
      <c r="B10" s="45"/>
      <c r="C10" s="43"/>
      <c r="D10" s="46"/>
      <c r="E10" s="3" t="s">
        <v>4</v>
      </c>
      <c r="F10" s="15" t="s">
        <v>69</v>
      </c>
      <c r="G10" s="1"/>
      <c r="H10" s="45"/>
      <c r="I10" s="53"/>
      <c r="J10" s="50"/>
      <c r="K10" s="3" t="s">
        <v>42</v>
      </c>
      <c r="L10" s="16" t="s">
        <v>32</v>
      </c>
      <c r="M10" s="16"/>
    </row>
    <row r="11" spans="2:13" x14ac:dyDescent="0.25">
      <c r="B11" s="45"/>
      <c r="C11" s="43"/>
      <c r="D11" s="46"/>
      <c r="E11" s="3" t="s">
        <v>97</v>
      </c>
      <c r="F11" s="15" t="s">
        <v>68</v>
      </c>
      <c r="G11" s="1"/>
      <c r="H11" s="45"/>
      <c r="I11" s="53"/>
      <c r="J11" s="50"/>
      <c r="K11" s="3" t="s">
        <v>39</v>
      </c>
      <c r="L11" s="16" t="s">
        <v>32</v>
      </c>
      <c r="M11" s="16"/>
    </row>
    <row r="12" spans="2:13" ht="45" x14ac:dyDescent="0.25">
      <c r="B12" s="45"/>
      <c r="C12" s="52">
        <v>3</v>
      </c>
      <c r="D12" s="47" t="s">
        <v>6</v>
      </c>
      <c r="E12" s="4" t="s">
        <v>98</v>
      </c>
      <c r="F12" s="15" t="s">
        <v>69</v>
      </c>
      <c r="G12" s="1"/>
      <c r="H12" s="45"/>
      <c r="I12" s="53"/>
      <c r="J12" s="50"/>
      <c r="K12" s="3" t="s">
        <v>40</v>
      </c>
      <c r="L12" s="16" t="s">
        <v>32</v>
      </c>
      <c r="M12" s="16"/>
    </row>
    <row r="13" spans="2:13" ht="30" x14ac:dyDescent="0.25">
      <c r="B13" s="45"/>
      <c r="C13" s="53"/>
      <c r="D13" s="48"/>
      <c r="E13" s="4" t="s">
        <v>7</v>
      </c>
      <c r="F13" s="15" t="s">
        <v>69</v>
      </c>
      <c r="G13" s="1"/>
      <c r="H13" s="45"/>
      <c r="I13" s="54"/>
      <c r="J13" s="51"/>
      <c r="K13" s="3" t="s">
        <v>43</v>
      </c>
      <c r="L13" s="16" t="s">
        <v>32</v>
      </c>
      <c r="M13" s="16"/>
    </row>
    <row r="14" spans="2:13" ht="45" x14ac:dyDescent="0.25">
      <c r="B14" s="45"/>
      <c r="C14" s="53"/>
      <c r="D14" s="48"/>
      <c r="E14" s="4" t="s">
        <v>13</v>
      </c>
      <c r="F14" s="15" t="s">
        <v>69</v>
      </c>
      <c r="G14" s="1"/>
      <c r="H14" s="45"/>
      <c r="I14" s="52">
        <v>4</v>
      </c>
      <c r="J14" s="49" t="s">
        <v>44</v>
      </c>
      <c r="K14" s="3" t="s">
        <v>45</v>
      </c>
      <c r="L14" s="16" t="s">
        <v>32</v>
      </c>
      <c r="M14" s="16"/>
    </row>
    <row r="15" spans="2:13" x14ac:dyDescent="0.25">
      <c r="B15" s="45"/>
      <c r="C15" s="53"/>
      <c r="D15" s="48"/>
      <c r="E15" s="4" t="s">
        <v>27</v>
      </c>
      <c r="F15" s="15" t="s">
        <v>69</v>
      </c>
      <c r="G15" s="1"/>
      <c r="H15" s="45"/>
      <c r="I15" s="53"/>
      <c r="J15" s="50"/>
      <c r="K15" s="3" t="s">
        <v>46</v>
      </c>
      <c r="L15" s="16" t="s">
        <v>32</v>
      </c>
      <c r="M15" s="16"/>
    </row>
    <row r="16" spans="2:13" ht="30" x14ac:dyDescent="0.25">
      <c r="B16" s="45"/>
      <c r="C16" s="52">
        <v>4</v>
      </c>
      <c r="D16" s="49" t="s">
        <v>8</v>
      </c>
      <c r="E16" s="4" t="s">
        <v>9</v>
      </c>
      <c r="F16" s="15" t="s">
        <v>69</v>
      </c>
      <c r="G16" s="1"/>
      <c r="H16" s="45"/>
      <c r="I16" s="54"/>
      <c r="J16" s="51"/>
      <c r="K16" s="3" t="s">
        <v>47</v>
      </c>
      <c r="L16" s="16" t="s">
        <v>32</v>
      </c>
      <c r="M16" s="16"/>
    </row>
    <row r="17" spans="2:23" ht="30" x14ac:dyDescent="0.25">
      <c r="B17" s="45"/>
      <c r="C17" s="53"/>
      <c r="D17" s="50"/>
      <c r="E17" s="4" t="s">
        <v>10</v>
      </c>
      <c r="F17" s="15" t="s">
        <v>69</v>
      </c>
      <c r="G17" s="1"/>
      <c r="H17" s="45"/>
      <c r="I17" s="52">
        <v>5</v>
      </c>
      <c r="J17" s="49" t="s">
        <v>48</v>
      </c>
      <c r="K17" s="3" t="s">
        <v>49</v>
      </c>
      <c r="L17" s="16" t="s">
        <v>32</v>
      </c>
      <c r="M17" s="16"/>
    </row>
    <row r="18" spans="2:23" ht="30" x14ac:dyDescent="0.25">
      <c r="B18" s="45"/>
      <c r="C18" s="54"/>
      <c r="D18" s="51"/>
      <c r="E18" s="4" t="s">
        <v>100</v>
      </c>
      <c r="F18" s="15" t="s">
        <v>69</v>
      </c>
      <c r="G18" s="1"/>
      <c r="H18" s="45"/>
      <c r="I18" s="54"/>
      <c r="J18" s="51"/>
      <c r="K18" s="3" t="s">
        <v>50</v>
      </c>
      <c r="L18" s="16" t="s">
        <v>32</v>
      </c>
      <c r="M18" s="16"/>
    </row>
    <row r="19" spans="2:23" ht="45" x14ac:dyDescent="0.25">
      <c r="B19" s="45"/>
      <c r="C19" s="6">
        <v>5</v>
      </c>
      <c r="D19" s="5" t="s">
        <v>11</v>
      </c>
      <c r="E19" s="4" t="s">
        <v>12</v>
      </c>
      <c r="F19" s="15" t="s">
        <v>69</v>
      </c>
      <c r="H19" s="45"/>
      <c r="I19" s="52">
        <v>6</v>
      </c>
      <c r="J19" s="49" t="s">
        <v>51</v>
      </c>
      <c r="K19" s="3" t="s">
        <v>52</v>
      </c>
      <c r="L19" s="16" t="s">
        <v>32</v>
      </c>
      <c r="M19" s="16"/>
    </row>
    <row r="20" spans="2:23" x14ac:dyDescent="0.25">
      <c r="B20" s="45"/>
      <c r="C20" s="52">
        <v>6</v>
      </c>
      <c r="D20" s="49" t="s">
        <v>14</v>
      </c>
      <c r="E20" s="4" t="s">
        <v>15</v>
      </c>
      <c r="F20" s="15" t="s">
        <v>69</v>
      </c>
      <c r="H20" s="45"/>
      <c r="I20" s="53"/>
      <c r="J20" s="50"/>
      <c r="K20" s="3" t="s">
        <v>54</v>
      </c>
      <c r="L20" s="16" t="s">
        <v>32</v>
      </c>
      <c r="M20" s="16"/>
    </row>
    <row r="21" spans="2:23" x14ac:dyDescent="0.25">
      <c r="B21" s="45"/>
      <c r="C21" s="53"/>
      <c r="D21" s="50"/>
      <c r="E21" s="4" t="s">
        <v>16</v>
      </c>
      <c r="F21" s="15" t="s">
        <v>69</v>
      </c>
      <c r="H21" s="45"/>
      <c r="I21" s="54"/>
      <c r="J21" s="51"/>
      <c r="K21" s="3" t="s">
        <v>53</v>
      </c>
      <c r="L21" s="16" t="s">
        <v>32</v>
      </c>
      <c r="M21" s="16"/>
    </row>
    <row r="22" spans="2:23" ht="30" x14ac:dyDescent="0.25">
      <c r="B22" s="45"/>
      <c r="C22" s="53"/>
      <c r="D22" s="50"/>
      <c r="E22" s="4" t="s">
        <v>17</v>
      </c>
      <c r="F22" s="15" t="s">
        <v>69</v>
      </c>
      <c r="H22" s="45"/>
      <c r="I22" s="52">
        <v>7</v>
      </c>
      <c r="J22" s="49" t="s">
        <v>55</v>
      </c>
      <c r="K22" s="3" t="s">
        <v>56</v>
      </c>
      <c r="L22" s="16" t="s">
        <v>32</v>
      </c>
      <c r="M22" s="16"/>
    </row>
    <row r="23" spans="2:23" x14ac:dyDescent="0.25">
      <c r="B23" s="45"/>
      <c r="C23" s="54"/>
      <c r="D23" s="51"/>
      <c r="E23" s="4" t="s">
        <v>36</v>
      </c>
      <c r="F23" s="15" t="s">
        <v>69</v>
      </c>
      <c r="H23" s="45"/>
      <c r="I23" s="53"/>
      <c r="J23" s="50"/>
      <c r="K23" s="3" t="s">
        <v>57</v>
      </c>
      <c r="L23" s="16" t="s">
        <v>32</v>
      </c>
      <c r="M23" s="16"/>
    </row>
    <row r="24" spans="2:23" x14ac:dyDescent="0.25">
      <c r="B24" s="45"/>
      <c r="C24" s="6">
        <v>7</v>
      </c>
      <c r="D24" s="7" t="s">
        <v>19</v>
      </c>
      <c r="E24" s="4" t="s">
        <v>18</v>
      </c>
      <c r="F24" s="15" t="s">
        <v>69</v>
      </c>
      <c r="H24" s="45"/>
      <c r="I24" s="54"/>
      <c r="J24" s="51"/>
      <c r="K24" s="3" t="s">
        <v>58</v>
      </c>
      <c r="L24" s="16" t="s">
        <v>32</v>
      </c>
      <c r="M24" s="16"/>
    </row>
    <row r="25" spans="2:23" x14ac:dyDescent="0.25">
      <c r="B25" s="45"/>
      <c r="C25" s="43">
        <v>8</v>
      </c>
      <c r="D25" s="46" t="s">
        <v>20</v>
      </c>
      <c r="E25" s="4" t="s">
        <v>21</v>
      </c>
      <c r="F25" s="15" t="s">
        <v>69</v>
      </c>
      <c r="H25" s="45"/>
      <c r="I25" s="43">
        <v>8</v>
      </c>
      <c r="J25" s="49" t="s">
        <v>59</v>
      </c>
      <c r="K25" s="3" t="s">
        <v>60</v>
      </c>
      <c r="L25" s="16"/>
      <c r="M25" s="16"/>
    </row>
    <row r="26" spans="2:23" x14ac:dyDescent="0.25">
      <c r="B26" s="45"/>
      <c r="C26" s="43"/>
      <c r="D26" s="46"/>
      <c r="E26" s="4" t="s">
        <v>24</v>
      </c>
      <c r="F26" s="15" t="s">
        <v>69</v>
      </c>
      <c r="H26" s="45"/>
      <c r="I26" s="43"/>
      <c r="J26" s="51"/>
      <c r="K26" s="3" t="s">
        <v>65</v>
      </c>
      <c r="L26" s="16"/>
      <c r="M26" s="16"/>
    </row>
    <row r="27" spans="2:23" x14ac:dyDescent="0.25">
      <c r="B27" s="45"/>
      <c r="C27" s="43"/>
      <c r="D27" s="46"/>
      <c r="E27" s="4" t="s">
        <v>25</v>
      </c>
      <c r="F27" s="15" t="s">
        <v>69</v>
      </c>
      <c r="H27" s="45"/>
      <c r="I27" s="43"/>
      <c r="J27" s="42" t="s">
        <v>122</v>
      </c>
      <c r="K27" s="38" t="s">
        <v>123</v>
      </c>
      <c r="L27" s="16"/>
      <c r="M27" s="16" t="s">
        <v>32</v>
      </c>
    </row>
    <row r="28" spans="2:23" x14ac:dyDescent="0.25">
      <c r="B28" s="45"/>
      <c r="C28" s="43"/>
      <c r="D28" s="46"/>
      <c r="E28" s="4" t="s">
        <v>26</v>
      </c>
      <c r="F28" s="15" t="s">
        <v>69</v>
      </c>
      <c r="H28" s="45"/>
      <c r="I28" s="43"/>
      <c r="J28" s="42"/>
      <c r="K28" s="38" t="s">
        <v>112</v>
      </c>
      <c r="L28" s="16" t="s">
        <v>32</v>
      </c>
      <c r="M28" s="16"/>
    </row>
    <row r="29" spans="2:23" ht="30" customHeight="1" x14ac:dyDescent="0.25">
      <c r="B29" s="45"/>
      <c r="C29" s="6">
        <v>9</v>
      </c>
      <c r="D29" s="7" t="s">
        <v>70</v>
      </c>
      <c r="E29" s="4" t="s">
        <v>22</v>
      </c>
      <c r="F29" s="15" t="s">
        <v>69</v>
      </c>
      <c r="H29" s="45"/>
      <c r="I29" s="43"/>
      <c r="J29" s="42"/>
      <c r="K29" s="38" t="s">
        <v>114</v>
      </c>
      <c r="L29" s="16"/>
      <c r="M29" s="16" t="s">
        <v>32</v>
      </c>
      <c r="N29" s="55" t="s">
        <v>131</v>
      </c>
      <c r="O29" s="56"/>
      <c r="P29" s="56"/>
      <c r="Q29" s="56"/>
      <c r="R29" s="56"/>
      <c r="S29" s="56"/>
      <c r="T29" s="56"/>
      <c r="U29" s="56"/>
      <c r="V29" s="56"/>
      <c r="W29" s="56"/>
    </row>
    <row r="30" spans="2:23" x14ac:dyDescent="0.25">
      <c r="B30" s="45"/>
      <c r="C30" s="6">
        <v>10</v>
      </c>
      <c r="D30" s="7" t="s">
        <v>71</v>
      </c>
      <c r="E30" s="4" t="s">
        <v>23</v>
      </c>
      <c r="F30" s="15" t="s">
        <v>69</v>
      </c>
      <c r="H30" s="45"/>
      <c r="I30" s="43"/>
      <c r="J30" s="42"/>
      <c r="K30" s="38" t="s">
        <v>115</v>
      </c>
      <c r="L30" s="16" t="s">
        <v>32</v>
      </c>
      <c r="M30" s="16"/>
    </row>
    <row r="31" spans="2:23" ht="30" x14ac:dyDescent="0.25">
      <c r="B31" s="45"/>
      <c r="C31" s="43">
        <v>11</v>
      </c>
      <c r="D31" s="49" t="s">
        <v>72</v>
      </c>
      <c r="E31" s="4" t="s">
        <v>73</v>
      </c>
      <c r="F31" s="15" t="s">
        <v>69</v>
      </c>
      <c r="H31" s="45"/>
      <c r="I31" s="43"/>
      <c r="J31" s="42"/>
      <c r="K31" s="38" t="s">
        <v>116</v>
      </c>
      <c r="L31" s="16"/>
      <c r="M31" s="16" t="s">
        <v>32</v>
      </c>
      <c r="N31" t="s">
        <v>133</v>
      </c>
      <c r="O31" t="s">
        <v>132</v>
      </c>
    </row>
    <row r="32" spans="2:23" ht="30" x14ac:dyDescent="0.25">
      <c r="B32" s="45"/>
      <c r="C32" s="43"/>
      <c r="D32" s="50"/>
      <c r="E32" s="4" t="s">
        <v>74</v>
      </c>
      <c r="F32" s="15" t="s">
        <v>69</v>
      </c>
      <c r="H32" s="45"/>
      <c r="I32" s="43"/>
      <c r="J32" s="42"/>
      <c r="K32" s="38" t="s">
        <v>124</v>
      </c>
      <c r="L32" s="16" t="s">
        <v>32</v>
      </c>
      <c r="M32" s="16"/>
    </row>
    <row r="33" spans="2:13" ht="45" x14ac:dyDescent="0.25">
      <c r="B33" s="45"/>
      <c r="C33" s="43"/>
      <c r="D33" s="51"/>
      <c r="E33" s="4" t="s">
        <v>75</v>
      </c>
      <c r="F33" s="15" t="s">
        <v>69</v>
      </c>
      <c r="H33" s="45"/>
      <c r="I33" s="43"/>
      <c r="J33" s="42"/>
      <c r="K33" s="38" t="s">
        <v>117</v>
      </c>
      <c r="L33" s="16" t="s">
        <v>32</v>
      </c>
      <c r="M33" s="16"/>
    </row>
    <row r="34" spans="2:13" ht="45" x14ac:dyDescent="0.25">
      <c r="B34" s="45"/>
      <c r="C34" s="43">
        <v>12</v>
      </c>
      <c r="D34" s="46" t="s">
        <v>110</v>
      </c>
      <c r="E34" s="4" t="s">
        <v>111</v>
      </c>
      <c r="F34" s="41" t="s">
        <v>121</v>
      </c>
      <c r="H34" s="45"/>
      <c r="I34" s="43"/>
      <c r="J34" s="42"/>
      <c r="K34" s="38" t="s">
        <v>125</v>
      </c>
      <c r="L34" s="16" t="s">
        <v>32</v>
      </c>
      <c r="M34" s="16"/>
    </row>
    <row r="35" spans="2:13" x14ac:dyDescent="0.25">
      <c r="B35" s="45"/>
      <c r="C35" s="43"/>
      <c r="D35" s="46"/>
      <c r="E35" s="4" t="s">
        <v>112</v>
      </c>
      <c r="F35" s="41"/>
      <c r="H35" s="45"/>
      <c r="I35" s="43"/>
      <c r="J35" s="42"/>
      <c r="K35" s="38" t="s">
        <v>126</v>
      </c>
      <c r="L35" s="16" t="s">
        <v>32</v>
      </c>
      <c r="M35" s="16"/>
    </row>
    <row r="36" spans="2:13" ht="30" x14ac:dyDescent="0.25">
      <c r="B36" s="45"/>
      <c r="C36" s="43"/>
      <c r="D36" s="46"/>
      <c r="E36" s="4" t="s">
        <v>114</v>
      </c>
      <c r="F36" s="41"/>
      <c r="H36" s="45"/>
      <c r="I36" s="43"/>
      <c r="J36" s="42"/>
      <c r="K36" s="38" t="s">
        <v>127</v>
      </c>
      <c r="L36" s="16"/>
      <c r="M36" s="16"/>
    </row>
    <row r="37" spans="2:13" x14ac:dyDescent="0.25">
      <c r="B37" s="45"/>
      <c r="C37" s="43"/>
      <c r="D37" s="46"/>
      <c r="E37" s="4" t="s">
        <v>115</v>
      </c>
      <c r="F37" s="41"/>
      <c r="H37" s="10"/>
      <c r="I37" s="11"/>
      <c r="J37" s="11"/>
    </row>
    <row r="38" spans="2:13" x14ac:dyDescent="0.25">
      <c r="B38" s="45"/>
      <c r="C38" s="43"/>
      <c r="D38" s="46"/>
      <c r="E38" s="4" t="s">
        <v>116</v>
      </c>
      <c r="F38" s="41"/>
      <c r="H38" s="10"/>
      <c r="I38" s="11"/>
      <c r="J38" s="11"/>
    </row>
    <row r="39" spans="2:13" x14ac:dyDescent="0.25">
      <c r="B39" s="45"/>
      <c r="C39" s="43"/>
      <c r="D39" s="46"/>
      <c r="E39" s="4" t="s">
        <v>113</v>
      </c>
      <c r="F39" s="41"/>
      <c r="H39" s="10"/>
      <c r="I39" s="11"/>
      <c r="J39" s="11">
        <v>90</v>
      </c>
      <c r="K39">
        <f>6*230</f>
        <v>1380</v>
      </c>
    </row>
    <row r="40" spans="2:13" ht="60" x14ac:dyDescent="0.25">
      <c r="B40" s="45"/>
      <c r="C40" s="43"/>
      <c r="D40" s="46"/>
      <c r="E40" s="4" t="s">
        <v>117</v>
      </c>
      <c r="F40" s="41"/>
      <c r="H40" s="10"/>
      <c r="I40" s="11"/>
      <c r="J40" s="11"/>
      <c r="K40">
        <f>J39-K39*3</f>
        <v>-4050</v>
      </c>
    </row>
    <row r="41" spans="2:13" x14ac:dyDescent="0.25">
      <c r="B41" s="45"/>
      <c r="C41" s="43"/>
      <c r="D41" s="46"/>
      <c r="E41" s="4" t="s">
        <v>118</v>
      </c>
      <c r="F41" s="41"/>
      <c r="H41" s="10"/>
      <c r="I41" s="11"/>
      <c r="J41" s="11"/>
    </row>
    <row r="42" spans="2:13" x14ac:dyDescent="0.25">
      <c r="B42" s="45"/>
      <c r="C42" s="43"/>
      <c r="D42" s="46"/>
      <c r="E42" s="4" t="s">
        <v>119</v>
      </c>
      <c r="F42" s="41"/>
      <c r="H42" s="10"/>
      <c r="I42" s="11"/>
      <c r="J42" s="11"/>
    </row>
    <row r="43" spans="2:13" ht="45" x14ac:dyDescent="0.25">
      <c r="B43" s="45"/>
      <c r="C43" s="43"/>
      <c r="D43" s="46"/>
      <c r="E43" s="4" t="s">
        <v>120</v>
      </c>
      <c r="F43" s="41"/>
      <c r="H43" s="10"/>
      <c r="I43" s="11"/>
      <c r="J43" s="11"/>
    </row>
    <row r="44" spans="2:13" x14ac:dyDescent="0.25">
      <c r="B44" s="8"/>
      <c r="C44" s="1"/>
      <c r="H44" s="10"/>
      <c r="I44" s="11"/>
      <c r="J44" s="11"/>
    </row>
    <row r="45" spans="2:13" ht="60" x14ac:dyDescent="0.25">
      <c r="B45" s="8"/>
      <c r="C45" s="1"/>
      <c r="E45" s="39" t="s">
        <v>130</v>
      </c>
      <c r="F45" s="40" t="s">
        <v>129</v>
      </c>
      <c r="H45" s="10"/>
      <c r="I45" s="11"/>
      <c r="J45" s="11"/>
    </row>
    <row r="46" spans="2:13" x14ac:dyDescent="0.25">
      <c r="B46" s="8"/>
      <c r="C46" s="1"/>
      <c r="H46" s="10"/>
      <c r="I46" s="11"/>
      <c r="J46" s="11"/>
    </row>
    <row r="47" spans="2:13" x14ac:dyDescent="0.25">
      <c r="B47" s="8"/>
      <c r="C47" s="1"/>
      <c r="H47" s="10"/>
      <c r="I47" s="11"/>
      <c r="J47" s="11"/>
    </row>
    <row r="48" spans="2:13" x14ac:dyDescent="0.25">
      <c r="B48" s="9"/>
    </row>
    <row r="49" spans="2:2" x14ac:dyDescent="0.25">
      <c r="B49" s="9"/>
    </row>
  </sheetData>
  <mergeCells count="35">
    <mergeCell ref="N29:W29"/>
    <mergeCell ref="C31:C33"/>
    <mergeCell ref="I19:I21"/>
    <mergeCell ref="I22:I24"/>
    <mergeCell ref="C2:C6"/>
    <mergeCell ref="C20:C23"/>
    <mergeCell ref="C25:C28"/>
    <mergeCell ref="C12:C15"/>
    <mergeCell ref="D16:D18"/>
    <mergeCell ref="D7:D11"/>
    <mergeCell ref="C7:C11"/>
    <mergeCell ref="C16:C18"/>
    <mergeCell ref="C34:C43"/>
    <mergeCell ref="B2:B43"/>
    <mergeCell ref="J25:J26"/>
    <mergeCell ref="D2:D6"/>
    <mergeCell ref="J22:J24"/>
    <mergeCell ref="J19:J21"/>
    <mergeCell ref="J17:J18"/>
    <mergeCell ref="J14:J16"/>
    <mergeCell ref="J7:J13"/>
    <mergeCell ref="J3:J6"/>
    <mergeCell ref="I3:I6"/>
    <mergeCell ref="I7:I13"/>
    <mergeCell ref="I14:I16"/>
    <mergeCell ref="I17:I18"/>
    <mergeCell ref="D20:D23"/>
    <mergeCell ref="D25:D28"/>
    <mergeCell ref="F34:F43"/>
    <mergeCell ref="J27:J36"/>
    <mergeCell ref="I25:I36"/>
    <mergeCell ref="H2:H36"/>
    <mergeCell ref="D34:D43"/>
    <mergeCell ref="D12:D15"/>
    <mergeCell ref="D31:D33"/>
  </mergeCell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zoomScaleNormal="100" workbookViewId="0">
      <selection activeCell="B19" sqref="B19"/>
    </sheetView>
  </sheetViews>
  <sheetFormatPr defaultRowHeight="15" x14ac:dyDescent="0.25"/>
  <cols>
    <col min="2" max="2" width="104.42578125" style="31" customWidth="1"/>
    <col min="3" max="3" width="15" style="32" bestFit="1" customWidth="1"/>
    <col min="4" max="4" width="27.28515625" style="33" customWidth="1"/>
  </cols>
  <sheetData>
    <row r="1" spans="1:4" x14ac:dyDescent="0.25">
      <c r="B1" s="14" t="s">
        <v>84</v>
      </c>
    </row>
    <row r="2" spans="1:4" x14ac:dyDescent="0.25">
      <c r="B2" s="18"/>
      <c r="C2" s="34"/>
    </row>
    <row r="3" spans="1:4" ht="30" x14ac:dyDescent="0.25">
      <c r="A3" s="17"/>
      <c r="B3" s="19" t="s">
        <v>83</v>
      </c>
      <c r="C3" s="35" t="s">
        <v>101</v>
      </c>
      <c r="D3" s="33" t="s">
        <v>80</v>
      </c>
    </row>
    <row r="4" spans="1:4" ht="30" x14ac:dyDescent="0.25">
      <c r="A4" s="17"/>
      <c r="B4" s="20" t="s">
        <v>76</v>
      </c>
      <c r="C4" s="35" t="s">
        <v>101</v>
      </c>
      <c r="D4" s="33" t="s">
        <v>80</v>
      </c>
    </row>
    <row r="5" spans="1:4" ht="30" x14ac:dyDescent="0.25">
      <c r="A5" s="17"/>
      <c r="B5" s="21" t="s">
        <v>77</v>
      </c>
      <c r="C5" s="35" t="s">
        <v>101</v>
      </c>
      <c r="D5" s="33" t="s">
        <v>80</v>
      </c>
    </row>
    <row r="6" spans="1:4" ht="30" x14ac:dyDescent="0.25">
      <c r="B6" s="22" t="s">
        <v>35</v>
      </c>
      <c r="C6" s="35" t="s">
        <v>101</v>
      </c>
      <c r="D6" s="33" t="s">
        <v>80</v>
      </c>
    </row>
    <row r="7" spans="1:4" ht="45" x14ac:dyDescent="0.25">
      <c r="B7" s="23" t="s">
        <v>82</v>
      </c>
      <c r="C7" s="35" t="s">
        <v>59</v>
      </c>
      <c r="D7" s="33" t="s">
        <v>80</v>
      </c>
    </row>
    <row r="8" spans="1:4" ht="45" x14ac:dyDescent="0.25">
      <c r="B8" s="24" t="s">
        <v>85</v>
      </c>
      <c r="C8" s="36" t="s">
        <v>102</v>
      </c>
      <c r="D8" s="33" t="s">
        <v>81</v>
      </c>
    </row>
    <row r="9" spans="1:4" ht="30" x14ac:dyDescent="0.25">
      <c r="B9" s="25" t="s">
        <v>86</v>
      </c>
      <c r="C9" s="37" t="s">
        <v>108</v>
      </c>
      <c r="D9" s="33" t="s">
        <v>81</v>
      </c>
    </row>
    <row r="10" spans="1:4" x14ac:dyDescent="0.25">
      <c r="B10" s="26" t="s">
        <v>88</v>
      </c>
      <c r="C10" s="37" t="s">
        <v>59</v>
      </c>
      <c r="D10" s="33" t="s">
        <v>81</v>
      </c>
    </row>
    <row r="11" spans="1:4" ht="30" x14ac:dyDescent="0.25">
      <c r="B11" s="26" t="s">
        <v>90</v>
      </c>
      <c r="C11" s="37" t="s">
        <v>89</v>
      </c>
      <c r="D11" s="33" t="s">
        <v>81</v>
      </c>
    </row>
    <row r="12" spans="1:4" ht="60" x14ac:dyDescent="0.25">
      <c r="B12" s="26" t="s">
        <v>92</v>
      </c>
      <c r="C12" s="36" t="s">
        <v>103</v>
      </c>
      <c r="D12" s="33" t="s">
        <v>81</v>
      </c>
    </row>
    <row r="13" spans="1:4" ht="30" x14ac:dyDescent="0.25">
      <c r="B13" s="26" t="s">
        <v>91</v>
      </c>
      <c r="C13" s="37" t="s">
        <v>104</v>
      </c>
      <c r="D13" s="33" t="s">
        <v>81</v>
      </c>
    </row>
    <row r="14" spans="1:4" ht="30" x14ac:dyDescent="0.25">
      <c r="B14" s="26" t="s">
        <v>107</v>
      </c>
      <c r="C14" s="37" t="s">
        <v>105</v>
      </c>
      <c r="D14" s="33" t="s">
        <v>81</v>
      </c>
    </row>
    <row r="15" spans="1:4" ht="45" x14ac:dyDescent="0.25">
      <c r="B15" s="26" t="s">
        <v>109</v>
      </c>
      <c r="C15" s="36" t="s">
        <v>102</v>
      </c>
      <c r="D15" s="33" t="s">
        <v>81</v>
      </c>
    </row>
    <row r="16" spans="1:4" ht="45" x14ac:dyDescent="0.25">
      <c r="B16" s="27" t="s">
        <v>87</v>
      </c>
      <c r="C16" s="35" t="s">
        <v>59</v>
      </c>
      <c r="D16" s="33" t="s">
        <v>80</v>
      </c>
    </row>
    <row r="17" spans="2:4" ht="60" x14ac:dyDescent="0.25">
      <c r="B17" s="28" t="s">
        <v>78</v>
      </c>
      <c r="C17" s="35" t="s">
        <v>106</v>
      </c>
      <c r="D17" s="33" t="s">
        <v>80</v>
      </c>
    </row>
    <row r="18" spans="2:4" ht="60" x14ac:dyDescent="0.25">
      <c r="B18" s="29" t="s">
        <v>79</v>
      </c>
      <c r="C18" s="35" t="s">
        <v>101</v>
      </c>
      <c r="D18" s="33" t="s">
        <v>80</v>
      </c>
    </row>
    <row r="19" spans="2:4" x14ac:dyDescent="0.25">
      <c r="B19" s="30"/>
    </row>
    <row r="20" spans="2:4" x14ac:dyDescent="0.25">
      <c r="B20" s="30"/>
    </row>
    <row r="21" spans="2:4" x14ac:dyDescent="0.25">
      <c r="B21" s="30"/>
    </row>
    <row r="22" spans="2:4" x14ac:dyDescent="0.25">
      <c r="B22" s="30"/>
    </row>
    <row r="23" spans="2:4" x14ac:dyDescent="0.25">
      <c r="B23" s="30"/>
    </row>
    <row r="24" spans="2:4" x14ac:dyDescent="0.25">
      <c r="B24" s="30"/>
    </row>
    <row r="25" spans="2:4" x14ac:dyDescent="0.25">
      <c r="B25" s="30"/>
    </row>
    <row r="26" spans="2:4" x14ac:dyDescent="0.25">
      <c r="B26" s="30"/>
    </row>
    <row r="27" spans="2:4" x14ac:dyDescent="0.25">
      <c r="B27" s="30"/>
    </row>
    <row r="28" spans="2:4" x14ac:dyDescent="0.25">
      <c r="B28" s="30"/>
    </row>
    <row r="29" spans="2:4" x14ac:dyDescent="0.25">
      <c r="B29" s="3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 риск</vt:lpstr>
      <vt:lpstr>Константа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2026-02-18T11:22:53Z</dcterms:modified>
</cp:coreProperties>
</file>